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390" windowWidth="15510" windowHeight="8940" activeTab="2"/>
  </bookViews>
  <sheets>
    <sheet name="Ustawienia" sheetId="28" r:id="rId1"/>
    <sheet name="Fundusze" sheetId="44" r:id="rId2"/>
    <sheet name="12.19" sheetId="145" r:id="rId3"/>
  </sheets>
  <definedNames>
    <definedName name="_xlnm._FilterDatabase" localSheetId="2" hidden="1">'12.19'!$A$6:$E$43</definedName>
    <definedName name="Pozycja">#REF!</definedName>
    <definedName name="Start">#REF!</definedName>
  </definedNames>
  <calcPr calcId="145621"/>
  <pivotCaches>
    <pivotCache cacheId="619" r:id="rId4"/>
    <pivotCache cacheId="624" r:id="rId5"/>
    <pivotCache cacheId="629" r:id="rId6"/>
    <pivotCache cacheId="636" r:id="rId7"/>
    <pivotCache cacheId="643" r:id="rId8"/>
  </pivotCaches>
</workbook>
</file>

<file path=xl/calcChain.xml><?xml version="1.0" encoding="utf-8"?>
<calcChain xmlns="http://schemas.openxmlformats.org/spreadsheetml/2006/main">
  <c r="E20" i="44" l="1"/>
  <c r="F20" i="44"/>
  <c r="B20" i="44"/>
  <c r="G20" i="44"/>
  <c r="B19" i="44"/>
  <c r="H20" i="44"/>
  <c r="D20" i="44"/>
  <c r="C20" i="44"/>
  <c r="C19" i="44" l="1"/>
  <c r="C21" i="44" s="1"/>
  <c r="C4" i="44" s="1"/>
  <c r="F19" i="44"/>
  <c r="F21" i="44" s="1"/>
  <c r="F4" i="44" s="1"/>
  <c r="H19" i="44"/>
  <c r="H21" i="44" s="1"/>
  <c r="H4" i="44" s="1"/>
  <c r="E19" i="44"/>
  <c r="E21" i="44" s="1"/>
  <c r="E4" i="44" s="1"/>
  <c r="D19" i="44"/>
  <c r="D21" i="44" s="1"/>
  <c r="D4" i="44" s="1"/>
  <c r="G19" i="44"/>
  <c r="G21" i="44" s="1"/>
  <c r="G4" i="44" s="1"/>
  <c r="B3" i="44" l="1"/>
</calcChain>
</file>

<file path=xl/connections.xml><?xml version="1.0" encoding="utf-8"?>
<connections xmlns="http://schemas.openxmlformats.org/spreadsheetml/2006/main">
  <connection id="1" name="Connection34" type="4" refreshedVersion="0" background="1">
    <webPr url="11Bit Studios" htmlTables="1" htmlFormat="all"/>
  </connection>
</connections>
</file>

<file path=xl/sharedStrings.xml><?xml version="1.0" encoding="utf-8"?>
<sst xmlns="http://schemas.openxmlformats.org/spreadsheetml/2006/main" count="125" uniqueCount="50">
  <si>
    <t>Nazwa</t>
  </si>
  <si>
    <t>Typ</t>
  </si>
  <si>
    <t>Kwota</t>
  </si>
  <si>
    <t>Statystyki</t>
  </si>
  <si>
    <t>Data</t>
  </si>
  <si>
    <t>Suma</t>
  </si>
  <si>
    <t>Nr</t>
  </si>
  <si>
    <t>Przychód</t>
  </si>
  <si>
    <t>Wydatek</t>
  </si>
  <si>
    <t>Skrót (Opcjonalnie)</t>
  </si>
  <si>
    <t>Pensja</t>
  </si>
  <si>
    <t>Wypłata</t>
  </si>
  <si>
    <t>Kategoria</t>
  </si>
  <si>
    <t>Kolumny</t>
  </si>
  <si>
    <t>Wydatki</t>
  </si>
  <si>
    <t>Razem</t>
  </si>
  <si>
    <t>Finanse</t>
  </si>
  <si>
    <t>Samochód</t>
  </si>
  <si>
    <t>Rachunki</t>
  </si>
  <si>
    <t>Dla wydatków</t>
  </si>
  <si>
    <t>Dla przychodów</t>
  </si>
  <si>
    <t>Zdefiniuj swoje kategorie</t>
  </si>
  <si>
    <t>Wzór formatu dla rekordów</t>
  </si>
  <si>
    <t>Telefon</t>
  </si>
  <si>
    <t>Struktura</t>
  </si>
  <si>
    <t>Żywność</t>
  </si>
  <si>
    <t>Zabawa</t>
  </si>
  <si>
    <t>Oszczędności</t>
  </si>
  <si>
    <t>Luksus</t>
  </si>
  <si>
    <t>Inwestycje W</t>
  </si>
  <si>
    <t>Inwestycje P</t>
  </si>
  <si>
    <t>Inne W</t>
  </si>
  <si>
    <t>Inne P</t>
  </si>
  <si>
    <t>Pomoc</t>
  </si>
  <si>
    <t>Utrzymanie</t>
  </si>
  <si>
    <t>Oszczędności na wydatki</t>
  </si>
  <si>
    <t>Wolność finansowa</t>
  </si>
  <si>
    <t>Edukacja</t>
  </si>
  <si>
    <t>Przychody</t>
  </si>
  <si>
    <t>Podział wydatków</t>
  </si>
  <si>
    <t>Kategorie</t>
  </si>
  <si>
    <t>Miesiąc</t>
  </si>
  <si>
    <t>Wykorzystano</t>
  </si>
  <si>
    <t>Pozostało</t>
  </si>
  <si>
    <t>Do wykorzystania</t>
  </si>
  <si>
    <t>Aktualny stan</t>
  </si>
  <si>
    <t>obiad</t>
  </si>
  <si>
    <t>impreza</t>
  </si>
  <si>
    <t>bułka</t>
  </si>
  <si>
    <t>12.19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</si>
</sst>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\ _z_ł_-;\-* #,##0.00\ _z_ł_-;_-* &quot;-&quot;??\ _z_ł_-;_-@_-"/>
    <numFmt numFmtId="165" formatCode="[$-409]d\-mmm\-yy;@"/>
    <numFmt numFmtId="166" formatCode="[$-409]mmm\-yy;@"/>
    <numFmt numFmtId="167" formatCode="[$-415]mmmm\ yy;@"/>
    <numFmt numFmtId="168" formatCode="d/mm;@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charset val="238"/>
      <scheme val="minor"/>
    </font>
    <font>
      <b/>
      <sz val="16"/>
      <color rgb="FF99FF99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90">
        <stop position="0">
          <color theme="3" tint="0.40000610370189521"/>
        </stop>
        <stop position="1">
          <color theme="1" tint="0.25098422193060094"/>
        </stop>
      </gradientFill>
    </fill>
    <fill>
      <gradientFill degree="270">
        <stop position="0">
          <color rgb="FF9BBCE5"/>
        </stop>
        <stop position="1">
          <color rgb="FFDDE7F2"/>
        </stop>
      </gradientFill>
    </fill>
    <fill>
      <gradientFill degree="90">
        <stop position="0">
          <color theme="0"/>
        </stop>
        <stop position="1">
          <color rgb="FFFAC092"/>
        </stop>
      </gradientFill>
    </fill>
    <fill>
      <gradientFill degree="90">
        <stop position="0">
          <color theme="0"/>
        </stop>
        <stop position="1">
          <color rgb="FF99FF99"/>
        </stop>
      </gradientFill>
    </fill>
    <fill>
      <gradientFill degree="90">
        <stop position="0">
          <color rgb="FFDDE7F2"/>
        </stop>
        <stop position="1">
          <color rgb="FF9BBCE5"/>
        </stop>
      </gradientFill>
    </fill>
    <fill>
      <gradientFill degree="90">
        <stop position="0">
          <color theme="4" tint="-0.25098422193060094"/>
        </stop>
        <stop position="0.5">
          <color theme="4" tint="-0.49803155613879818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/>
    </xf>
    <xf numFmtId="165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165" fontId="1" fillId="2" borderId="6" xfId="0" applyNumberFormat="1" applyFont="1" applyFill="1" applyBorder="1" applyAlignment="1">
      <alignment horizontal="center" vertical="center"/>
    </xf>
    <xf numFmtId="165" fontId="1" fillId="2" borderId="0" xfId="0" applyNumberFormat="1" applyFont="1" applyFill="1" applyBorder="1" applyAlignment="1">
      <alignment horizontal="center" vertical="center"/>
    </xf>
    <xf numFmtId="165" fontId="1" fillId="2" borderId="7" xfId="0" applyNumberFormat="1" applyFont="1" applyFill="1" applyBorder="1" applyAlignment="1">
      <alignment horizontal="center" vertical="center"/>
    </xf>
    <xf numFmtId="0" fontId="0" fillId="6" borderId="8" xfId="0" applyNumberFormat="1" applyFill="1" applyBorder="1"/>
    <xf numFmtId="0" fontId="0" fillId="6" borderId="10" xfId="0" applyNumberFormat="1" applyFill="1" applyBorder="1"/>
    <xf numFmtId="0" fontId="0" fillId="6" borderId="2" xfId="0" applyNumberFormat="1" applyFill="1" applyBorder="1" applyAlignment="1">
      <alignment horizontal="center" vertical="center"/>
    </xf>
    <xf numFmtId="0" fontId="0" fillId="6" borderId="9" xfId="0" applyNumberFormat="1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0" fontId="0" fillId="6" borderId="12" xfId="0" applyNumberFormat="1" applyFill="1" applyBorder="1" applyAlignment="1">
      <alignment horizontal="center" vertical="center"/>
    </xf>
    <xf numFmtId="4" fontId="0" fillId="4" borderId="0" xfId="0" applyNumberFormat="1" applyFill="1"/>
    <xf numFmtId="4" fontId="0" fillId="5" borderId="0" xfId="0" applyNumberFormat="1" applyFill="1"/>
    <xf numFmtId="0" fontId="0" fillId="0" borderId="0" xfId="0" applyProtection="1"/>
    <xf numFmtId="0" fontId="0" fillId="0" borderId="0" xfId="0" applyBorder="1" applyProtection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1" fillId="2" borderId="0" xfId="0" applyNumberFormat="1" applyFont="1" applyFill="1" applyAlignment="1" applyProtection="1">
      <alignment horizontal="center" vertical="center"/>
      <protection locked="0"/>
    </xf>
    <xf numFmtId="168" fontId="0" fillId="4" borderId="0" xfId="0" applyNumberFormat="1" applyFill="1" applyAlignment="1">
      <alignment horizontal="center"/>
    </xf>
    <xf numFmtId="168" fontId="0" fillId="5" borderId="0" xfId="0" applyNumberFormat="1" applyFill="1" applyAlignment="1">
      <alignment horizontal="center"/>
    </xf>
    <xf numFmtId="168" fontId="0" fillId="3" borderId="0" xfId="0" applyNumberFormat="1" applyFill="1" applyAlignment="1">
      <alignment horizontal="left"/>
    </xf>
    <xf numFmtId="2" fontId="0" fillId="3" borderId="0" xfId="0" applyNumberFormat="1" applyFill="1"/>
    <xf numFmtId="2" fontId="2" fillId="2" borderId="0" xfId="0" applyNumberFormat="1" applyFont="1" applyFill="1"/>
    <xf numFmtId="2" fontId="0" fillId="0" borderId="0" xfId="0" applyNumberFormat="1"/>
    <xf numFmtId="2" fontId="2" fillId="0" borderId="0" xfId="0" applyNumberFormat="1" applyFont="1"/>
    <xf numFmtId="0" fontId="0" fillId="0" borderId="0" xfId="0" applyNumberFormat="1"/>
    <xf numFmtId="0" fontId="0" fillId="0" borderId="0" xfId="0" applyAlignment="1">
      <alignment horizontal="center" vertical="center" wrapText="1"/>
    </xf>
    <xf numFmtId="166" fontId="5" fillId="2" borderId="15" xfId="0" applyNumberFormat="1" applyFont="1" applyFill="1" applyBorder="1" applyAlignment="1">
      <alignment horizontal="center" vertical="center" wrapText="1"/>
    </xf>
    <xf numFmtId="166" fontId="3" fillId="2" borderId="14" xfId="0" applyNumberFormat="1" applyFont="1" applyFill="1" applyBorder="1" applyAlignment="1">
      <alignment vertical="center"/>
    </xf>
    <xf numFmtId="166" fontId="5" fillId="2" borderId="14" xfId="0" applyNumberFormat="1" applyFont="1" applyFill="1" applyBorder="1" applyAlignment="1">
      <alignment horizontal="center" vertical="center" wrapText="1"/>
    </xf>
    <xf numFmtId="9" fontId="7" fillId="7" borderId="14" xfId="0" applyNumberFormat="1" applyFont="1" applyFill="1" applyBorder="1" applyAlignment="1">
      <alignment horizontal="center" vertical="center"/>
    </xf>
    <xf numFmtId="166" fontId="6" fillId="2" borderId="14" xfId="0" applyNumberFormat="1" applyFont="1" applyFill="1" applyBorder="1" applyAlignment="1">
      <alignment horizontal="center" vertical="center" wrapText="1"/>
    </xf>
    <xf numFmtId="0" fontId="0" fillId="6" borderId="14" xfId="0" applyNumberFormat="1" applyFill="1" applyBorder="1" applyAlignment="1">
      <alignment horizontal="center" vertical="center"/>
    </xf>
    <xf numFmtId="9" fontId="7" fillId="7" borderId="13" xfId="0" applyNumberFormat="1" applyFont="1" applyFill="1" applyBorder="1" applyAlignment="1">
      <alignment horizontal="center" vertical="center"/>
    </xf>
    <xf numFmtId="166" fontId="1" fillId="2" borderId="14" xfId="0" applyNumberFormat="1" applyFont="1" applyFill="1" applyBorder="1" applyAlignment="1">
      <alignment horizontal="center" vertical="center" wrapText="1"/>
    </xf>
    <xf numFmtId="2" fontId="0" fillId="6" borderId="14" xfId="0" applyNumberFormat="1" applyFill="1" applyBorder="1" applyAlignment="1">
      <alignment horizontal="right" vertical="center"/>
    </xf>
    <xf numFmtId="9" fontId="8" fillId="7" borderId="14" xfId="0" applyNumberFormat="1" applyFont="1" applyFill="1" applyBorder="1" applyAlignment="1">
      <alignment horizontal="center" vertical="center"/>
    </xf>
    <xf numFmtId="9" fontId="8" fillId="7" borderId="15" xfId="0" applyNumberFormat="1" applyFont="1" applyFill="1" applyBorder="1" applyAlignment="1">
      <alignment horizontal="center" vertical="center"/>
    </xf>
    <xf numFmtId="9" fontId="9" fillId="7" borderId="14" xfId="0" applyNumberFormat="1" applyFont="1" applyFill="1" applyBorder="1" applyAlignment="1">
      <alignment horizontal="center" vertical="center"/>
    </xf>
    <xf numFmtId="2" fontId="10" fillId="6" borderId="14" xfId="0" applyNumberFormat="1" applyFont="1" applyFill="1" applyBorder="1" applyAlignment="1">
      <alignment horizontal="center" vertical="center"/>
    </xf>
    <xf numFmtId="2" fontId="0" fillId="6" borderId="14" xfId="0" applyNumberFormat="1" applyFont="1" applyFill="1" applyBorder="1" applyAlignment="1">
      <alignment horizontal="right" vertical="center"/>
    </xf>
    <xf numFmtId="4" fontId="0" fillId="0" borderId="0" xfId="0" applyNumberFormat="1"/>
    <xf numFmtId="0" fontId="0" fillId="0" borderId="0" xfId="0" applyFill="1" applyBorder="1" applyProtection="1"/>
    <xf numFmtId="166" fontId="3" fillId="2" borderId="3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5" xfId="0" applyNumberFormat="1" applyFont="1" applyFill="1" applyBorder="1" applyAlignment="1">
      <alignment horizontal="center" vertical="center"/>
    </xf>
    <xf numFmtId="166" fontId="3" fillId="2" borderId="0" xfId="0" applyNumberFormat="1" applyFont="1" applyFill="1" applyBorder="1" applyAlignment="1">
      <alignment horizontal="center" vertical="center"/>
    </xf>
    <xf numFmtId="49" fontId="7" fillId="7" borderId="13" xfId="0" applyNumberFormat="1" applyFont="1" applyFill="1" applyBorder="1" applyAlignment="1">
      <alignment horizontal="center" vertical="center"/>
    </xf>
    <xf numFmtId="49" fontId="7" fillId="7" borderId="0" xfId="0" applyNumberFormat="1" applyFont="1" applyFill="1" applyBorder="1" applyAlignment="1">
      <alignment horizontal="center" vertical="center"/>
    </xf>
    <xf numFmtId="166" fontId="3" fillId="2" borderId="15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Border="1" applyAlignment="1" applyProtection="1">
      <alignment horizontal="center" vertical="center"/>
      <protection locked="0"/>
    </xf>
    <xf numFmtId="167" fontId="3" fillId="2" borderId="1" xfId="0" applyNumberFormat="1" applyFont="1" applyFill="1" applyBorder="1" applyAlignment="1" applyProtection="1">
      <alignment horizontal="center" vertical="center"/>
      <protection locked="0"/>
    </xf>
  </cellXfs>
  <cellStyles count="2">
    <cellStyle name="Dziesiętny 2" xfId="1"/>
    <cellStyle name="Normal" xfId="0" builtinId="0"/>
  </cellStyles>
  <dxfs count="663"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7CBF33"/>
          </stop>
        </gradientFill>
      </fill>
    </dxf>
    <dxf>
      <fill>
        <gradientFill degree="270">
          <stop position="0">
            <color rgb="FFFF000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rgb="FF66FF33"/>
          </stop>
          <stop position="1">
            <color rgb="FF6CA62C"/>
          </stop>
        </gradientFill>
      </fill>
    </dxf>
    <dxf>
      <numFmt numFmtId="2" formatCode="0.00"/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</dxf>
    <dxf>
      <numFmt numFmtId="2" formatCode="0.00"/>
    </dxf>
    <dxf>
      <numFmt numFmtId="2" formatCode="0.00"/>
    </dxf>
    <dxf>
      <numFmt numFmtId="2" formatCode="0.00"/>
    </dxf>
    <dxf>
      <font>
        <color theme="0"/>
      </font>
    </dxf>
    <dxf>
      <font>
        <color theme="0"/>
      </font>
    </dxf>
    <dxf>
      <numFmt numFmtId="2" formatCode="0.00"/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</dxf>
    <dxf>
      <font>
        <color theme="0"/>
      </font>
    </dxf>
    <dxf>
      <numFmt numFmtId="2" formatCode="0.00"/>
    </dxf>
    <dxf>
      <numFmt numFmtId="2" formatCode="0.00"/>
    </dxf>
    <dxf>
      <numFmt numFmtId="168" formatCode="d/mm;@"/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alignment horizontal="center" vertical="center" readingOrder="0"/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alignment horizontal="center" vertical="center" readingOrder="0"/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270">
          <stop position="0">
            <color rgb="FF9BBCE5"/>
          </stop>
          <stop position="1">
            <color rgb="FFDDE7F2"/>
          </stop>
        </gradientFill>
      </fill>
    </dxf>
    <dxf>
      <fill>
        <gradientFill degree="270">
          <stop position="0">
            <color rgb="FF9BBCE5"/>
          </stop>
          <stop position="1">
            <color rgb="FFDDE7F2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gradientFill degree="270">
          <stop position="0">
            <color rgb="FF640000"/>
          </stop>
          <stop position="1">
            <color rgb="FF920000"/>
          </stop>
        </gradientFill>
      </fill>
    </dxf>
    <dxf>
      <fill>
        <gradientFill degree="270">
          <stop position="0">
            <color rgb="FF640000"/>
          </stop>
          <stop position="1">
            <color rgb="FF920000"/>
          </stop>
        </gradientFill>
      </fill>
    </dxf>
    <dxf>
      <fill>
        <gradientFill degree="270">
          <stop position="0">
            <color rgb="FF640000"/>
          </stop>
          <stop position="1">
            <color rgb="FF920000"/>
          </stop>
        </gradientFill>
      </fill>
    </dxf>
    <dxf>
      <fill>
        <gradientFill degree="270">
          <stop position="0">
            <color rgb="FF640000"/>
          </stop>
          <stop position="1">
            <color rgb="FF920000"/>
          </stop>
        </gradientFill>
      </fill>
    </dxf>
    <dxf>
      <font>
        <color theme="0"/>
      </font>
    </dxf>
    <dxf>
      <font>
        <color theme="0"/>
      </font>
    </dxf>
    <dxf>
      <fill>
        <gradientFill degree="270">
          <stop position="0">
            <color rgb="FF640000"/>
          </stop>
          <stop position="1">
            <color rgb="FF920000"/>
          </stop>
        </gradientFill>
      </fill>
    </dxf>
    <dxf>
      <fill>
        <gradientFill degree="270">
          <stop position="0">
            <color rgb="FF640000"/>
          </stop>
          <stop position="1">
            <color rgb="FF920000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59999389629810485"/>
          </stop>
          <stop position="1">
            <color theme="3" tint="0.40000610370189521"/>
          </stop>
        </gradientFill>
      </fill>
    </dxf>
    <dxf>
      <fill>
        <gradientFill degree="270">
          <stop position="0">
            <color theme="3" tint="0.40000610370189521"/>
          </stop>
          <stop position="1">
            <color theme="3" tint="0.59999389629810485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</dxf>
    <dxf>
      <font>
        <color theme="0"/>
      </font>
      <fill>
        <gradientFill degree="90">
          <stop position="0">
            <color theme="3" tint="0.40000610370189521"/>
          </stop>
          <stop position="1">
            <color theme="1" tint="0.25098422193060094"/>
          </stop>
        </gradientFill>
      </fill>
      <border>
        <vertical/>
      </border>
    </dxf>
    <dxf>
      <fill>
        <gradientFill degree="90">
          <stop position="0">
            <color rgb="FF9BBCE5"/>
          </stop>
          <stop position="0.5">
            <color theme="4" tint="0.80001220740379042"/>
          </stop>
          <stop position="1">
            <color rgb="FF9BBCE5"/>
          </stop>
        </gradientFill>
      </fill>
      <border>
        <vertical style="thin">
          <color theme="0" tint="-0.34998626667073579"/>
        </vertical>
      </border>
    </dxf>
    <dxf>
      <fill>
        <gradientFill degree="270">
          <stop position="0">
            <color rgb="FFFAC092"/>
          </stop>
          <stop position="1">
            <color theme="9" tint="0.59999389629810485"/>
          </stop>
        </gradientFill>
      </fill>
    </dxf>
    <dxf>
      <fill>
        <gradientFill degree="270">
          <stop position="0">
            <color rgb="FFFAC092"/>
          </stop>
          <stop position="1">
            <color theme="9" tint="0.59999389629810485"/>
          </stop>
        </gradientFill>
      </fill>
    </dxf>
    <dxf>
      <fill>
        <gradientFill degree="90">
          <stop position="0">
            <color rgb="FF920000"/>
          </stop>
          <stop position="1">
            <color rgb="FF640000"/>
          </stop>
        </gradientFill>
      </fill>
    </dxf>
    <dxf>
      <font>
        <color theme="0"/>
      </font>
      <fill>
        <gradientFill degree="270">
          <stop position="0">
            <color rgb="FF640000"/>
          </stop>
          <stop position="1">
            <color rgb="FF920000"/>
          </stop>
        </gradientFill>
      </fill>
    </dxf>
    <dxf>
      <fill>
        <gradientFill degree="270">
          <stop position="0">
            <color rgb="FFFAC092"/>
          </stop>
          <stop position="1">
            <color theme="9" tint="0.59999389629810485"/>
          </stop>
        </gradientFill>
      </fill>
    </dxf>
  </dxfs>
  <tableStyles count="45" defaultTableStyle="TableStyleMedium2" defaultPivotStyle="PivotStyleLight16">
    <tableStyle name="MojStyle" table="0" count="5">
      <tableStyleElement type="wholeTable" dxfId="662"/>
      <tableStyleElement type="headerRow" dxfId="661"/>
      <tableStyleElement type="totalRow" dxfId="660"/>
      <tableStyleElement type="firstRowStripe" dxfId="659"/>
      <tableStyleElement type="secondRowStripe" dxfId="658"/>
    </tableStyle>
    <tableStyle name="MojStyle2" table="0" count="8">
      <tableStyleElement type="wholeTable" dxfId="657"/>
      <tableStyleElement type="headerRow" dxfId="656"/>
      <tableStyleElement type="totalRow" dxfId="655"/>
      <tableStyleElement type="firstHeaderCell" dxfId="654"/>
      <tableStyleElement type="firstSubtotalColumn" dxfId="653"/>
      <tableStyleElement type="secondSubtotalColumn" dxfId="652"/>
      <tableStyleElement type="thirdSubtotalColumn" dxfId="651"/>
      <tableStyleElement type="firstSubtotalRow" dxfId="650"/>
    </tableStyle>
    <tableStyle name="MojStyle2 10" table="0" count="8">
      <tableStyleElement type="wholeTable" dxfId="649"/>
      <tableStyleElement type="headerRow" dxfId="648"/>
      <tableStyleElement type="totalRow" dxfId="647"/>
      <tableStyleElement type="firstHeaderCell" dxfId="646"/>
      <tableStyleElement type="firstSubtotalColumn" dxfId="645"/>
      <tableStyleElement type="secondSubtotalColumn" dxfId="644"/>
      <tableStyleElement type="thirdSubtotalColumn" dxfId="643"/>
      <tableStyleElement type="firstSubtotalRow" dxfId="642"/>
    </tableStyle>
    <tableStyle name="MojStyle2 11" table="0" count="8">
      <tableStyleElement type="wholeTable" dxfId="641"/>
      <tableStyleElement type="headerRow" dxfId="640"/>
      <tableStyleElement type="totalRow" dxfId="639"/>
      <tableStyleElement type="firstHeaderCell" dxfId="638"/>
      <tableStyleElement type="firstSubtotalColumn" dxfId="637"/>
      <tableStyleElement type="secondSubtotalColumn" dxfId="636"/>
      <tableStyleElement type="thirdSubtotalColumn" dxfId="635"/>
      <tableStyleElement type="firstSubtotalRow" dxfId="634"/>
    </tableStyle>
    <tableStyle name="MojStyle2 12" table="0" count="8">
      <tableStyleElement type="wholeTable" dxfId="633"/>
      <tableStyleElement type="headerRow" dxfId="632"/>
      <tableStyleElement type="totalRow" dxfId="631"/>
      <tableStyleElement type="firstHeaderCell" dxfId="630"/>
      <tableStyleElement type="firstSubtotalColumn" dxfId="629"/>
      <tableStyleElement type="secondSubtotalColumn" dxfId="628"/>
      <tableStyleElement type="thirdSubtotalColumn" dxfId="627"/>
      <tableStyleElement type="firstSubtotalRow" dxfId="626"/>
    </tableStyle>
    <tableStyle name="MojStyle2 13" table="0" count="8">
      <tableStyleElement type="wholeTable" dxfId="625"/>
      <tableStyleElement type="headerRow" dxfId="624"/>
      <tableStyleElement type="totalRow" dxfId="623"/>
      <tableStyleElement type="firstHeaderCell" dxfId="622"/>
      <tableStyleElement type="firstSubtotalColumn" dxfId="621"/>
      <tableStyleElement type="secondSubtotalColumn" dxfId="620"/>
      <tableStyleElement type="thirdSubtotalColumn" dxfId="619"/>
      <tableStyleElement type="firstSubtotalRow" dxfId="618"/>
    </tableStyle>
    <tableStyle name="MojStyle2 13 2" table="0" count="8">
      <tableStyleElement type="wholeTable" dxfId="617"/>
      <tableStyleElement type="headerRow" dxfId="616"/>
      <tableStyleElement type="totalRow" dxfId="615"/>
      <tableStyleElement type="firstHeaderCell" dxfId="614"/>
      <tableStyleElement type="firstSubtotalColumn" dxfId="613"/>
      <tableStyleElement type="secondSubtotalColumn" dxfId="612"/>
      <tableStyleElement type="thirdSubtotalColumn" dxfId="611"/>
      <tableStyleElement type="firstSubtotalRow" dxfId="610"/>
    </tableStyle>
    <tableStyle name="MojStyle2 13 2 2" table="0" count="8">
      <tableStyleElement type="wholeTable" dxfId="609"/>
      <tableStyleElement type="headerRow" dxfId="608"/>
      <tableStyleElement type="totalRow" dxfId="607"/>
      <tableStyleElement type="firstHeaderCell" dxfId="606"/>
      <tableStyleElement type="firstSubtotalColumn" dxfId="605"/>
      <tableStyleElement type="secondSubtotalColumn" dxfId="604"/>
      <tableStyleElement type="thirdSubtotalColumn" dxfId="603"/>
      <tableStyleElement type="firstSubtotalRow" dxfId="602"/>
    </tableStyle>
    <tableStyle name="MojStyle2 13 2 3" table="0" count="8">
      <tableStyleElement type="wholeTable" dxfId="601"/>
      <tableStyleElement type="headerRow" dxfId="600"/>
      <tableStyleElement type="totalRow" dxfId="599"/>
      <tableStyleElement type="firstHeaderCell" dxfId="598"/>
      <tableStyleElement type="firstSubtotalColumn" dxfId="597"/>
      <tableStyleElement type="secondSubtotalColumn" dxfId="596"/>
      <tableStyleElement type="thirdSubtotalColumn" dxfId="595"/>
      <tableStyleElement type="firstSubtotalRow" dxfId="594"/>
    </tableStyle>
    <tableStyle name="MojStyle2 13 2 4" table="0" count="8">
      <tableStyleElement type="wholeTable" dxfId="593"/>
      <tableStyleElement type="headerRow" dxfId="592"/>
      <tableStyleElement type="totalRow" dxfId="591"/>
      <tableStyleElement type="firstHeaderCell" dxfId="590"/>
      <tableStyleElement type="firstSubtotalColumn" dxfId="589"/>
      <tableStyleElement type="secondSubtotalColumn" dxfId="588"/>
      <tableStyleElement type="thirdSubtotalColumn" dxfId="587"/>
      <tableStyleElement type="firstSubtotalRow" dxfId="586"/>
    </tableStyle>
    <tableStyle name="MojStyle2 13 2 4 2" table="0" count="8">
      <tableStyleElement type="wholeTable" dxfId="585"/>
      <tableStyleElement type="headerRow" dxfId="584"/>
      <tableStyleElement type="totalRow" dxfId="583"/>
      <tableStyleElement type="firstHeaderCell" dxfId="582"/>
      <tableStyleElement type="firstSubtotalColumn" dxfId="581"/>
      <tableStyleElement type="secondSubtotalColumn" dxfId="580"/>
      <tableStyleElement type="thirdSubtotalColumn" dxfId="579"/>
      <tableStyleElement type="firstSubtotalRow" dxfId="578"/>
    </tableStyle>
    <tableStyle name="MojStyle2 13 2 4 2 2" table="0" count="8">
      <tableStyleElement type="wholeTable" dxfId="577"/>
      <tableStyleElement type="headerRow" dxfId="576"/>
      <tableStyleElement type="totalRow" dxfId="575"/>
      <tableStyleElement type="firstHeaderCell" dxfId="574"/>
      <tableStyleElement type="firstSubtotalColumn" dxfId="573"/>
      <tableStyleElement type="secondSubtotalColumn" dxfId="572"/>
      <tableStyleElement type="thirdSubtotalColumn" dxfId="571"/>
      <tableStyleElement type="firstSubtotalRow" dxfId="570"/>
    </tableStyle>
    <tableStyle name="MojStyle2 13 2 4 2 2 2" table="0" count="8">
      <tableStyleElement type="wholeTable" dxfId="569"/>
      <tableStyleElement type="headerRow" dxfId="568"/>
      <tableStyleElement type="totalRow" dxfId="567"/>
      <tableStyleElement type="firstHeaderCell" dxfId="566"/>
      <tableStyleElement type="firstSubtotalColumn" dxfId="565"/>
      <tableStyleElement type="secondSubtotalColumn" dxfId="564"/>
      <tableStyleElement type="thirdSubtotalColumn" dxfId="563"/>
      <tableStyleElement type="firstSubtotalRow" dxfId="562"/>
    </tableStyle>
    <tableStyle name="MojStyle2 13 2 4 2 2 2 2" table="0" count="8">
      <tableStyleElement type="wholeTable" dxfId="561"/>
      <tableStyleElement type="headerRow" dxfId="560"/>
      <tableStyleElement type="totalRow" dxfId="559"/>
      <tableStyleElement type="firstHeaderCell" dxfId="558"/>
      <tableStyleElement type="firstSubtotalColumn" dxfId="557"/>
      <tableStyleElement type="secondSubtotalColumn" dxfId="556"/>
      <tableStyleElement type="thirdSubtotalColumn" dxfId="555"/>
      <tableStyleElement type="firstSubtotalRow" dxfId="554"/>
    </tableStyle>
    <tableStyle name="MojStyle2 13 2 4 2 2 2 2 2" table="0" count="8">
      <tableStyleElement type="wholeTable" dxfId="553"/>
      <tableStyleElement type="headerRow" dxfId="552"/>
      <tableStyleElement type="totalRow" dxfId="551"/>
      <tableStyleElement type="firstHeaderCell" dxfId="550"/>
      <tableStyleElement type="firstSubtotalColumn" dxfId="549"/>
      <tableStyleElement type="secondSubtotalColumn" dxfId="548"/>
      <tableStyleElement type="thirdSubtotalColumn" dxfId="547"/>
      <tableStyleElement type="firstSubtotalRow" dxfId="546"/>
    </tableStyle>
    <tableStyle name="MojStyle2 13 2 4 2 2 2 2 2 2" table="0" count="8">
      <tableStyleElement type="wholeTable" dxfId="545"/>
      <tableStyleElement type="headerRow" dxfId="544"/>
      <tableStyleElement type="totalRow" dxfId="543"/>
      <tableStyleElement type="firstHeaderCell" dxfId="542"/>
      <tableStyleElement type="firstSubtotalColumn" dxfId="541"/>
      <tableStyleElement type="secondSubtotalColumn" dxfId="540"/>
      <tableStyleElement type="thirdSubtotalColumn" dxfId="539"/>
      <tableStyleElement type="firstSubtotalRow" dxfId="538"/>
    </tableStyle>
    <tableStyle name="MojStyle2 13 2 4 2 2 2 2 2 2 2" table="0" count="8">
      <tableStyleElement type="wholeTable" dxfId="537"/>
      <tableStyleElement type="headerRow" dxfId="536"/>
      <tableStyleElement type="totalRow" dxfId="535"/>
      <tableStyleElement type="firstHeaderCell" dxfId="534"/>
      <tableStyleElement type="firstSubtotalColumn" dxfId="533"/>
      <tableStyleElement type="secondSubtotalColumn" dxfId="532"/>
      <tableStyleElement type="thirdSubtotalColumn" dxfId="531"/>
      <tableStyleElement type="firstSubtotalRow" dxfId="530"/>
    </tableStyle>
    <tableStyle name="MojStyle2 13 2 4 2 2 2 2 2 2 3" table="0" count="8">
      <tableStyleElement type="wholeTable" dxfId="529"/>
      <tableStyleElement type="headerRow" dxfId="528"/>
      <tableStyleElement type="totalRow" dxfId="527"/>
      <tableStyleElement type="firstHeaderCell" dxfId="526"/>
      <tableStyleElement type="firstSubtotalColumn" dxfId="525"/>
      <tableStyleElement type="secondSubtotalColumn" dxfId="524"/>
      <tableStyleElement type="thirdSubtotalColumn" dxfId="523"/>
      <tableStyleElement type="firstSubtotalRow" dxfId="522"/>
    </tableStyle>
    <tableStyle name="MojStyle2 13 2 4 2 2 2 2 2 2 3 2" table="0" count="8">
      <tableStyleElement type="wholeTable" dxfId="521"/>
      <tableStyleElement type="headerRow" dxfId="520"/>
      <tableStyleElement type="totalRow" dxfId="519"/>
      <tableStyleElement type="firstHeaderCell" dxfId="518"/>
      <tableStyleElement type="firstSubtotalColumn" dxfId="517"/>
      <tableStyleElement type="secondSubtotalColumn" dxfId="516"/>
      <tableStyleElement type="thirdSubtotalColumn" dxfId="515"/>
      <tableStyleElement type="firstSubtotalRow" dxfId="514"/>
    </tableStyle>
    <tableStyle name="MojStyle2 13 2 4 2 2 2 2 2 2 3 2 2" table="0" count="8">
      <tableStyleElement type="wholeTable" dxfId="513"/>
      <tableStyleElement type="headerRow" dxfId="512"/>
      <tableStyleElement type="totalRow" dxfId="511"/>
      <tableStyleElement type="firstHeaderCell" dxfId="510"/>
      <tableStyleElement type="firstSubtotalColumn" dxfId="509"/>
      <tableStyleElement type="secondSubtotalColumn" dxfId="508"/>
      <tableStyleElement type="thirdSubtotalColumn" dxfId="507"/>
      <tableStyleElement type="firstSubtotalRow" dxfId="506"/>
    </tableStyle>
    <tableStyle name="MojStyle2 13 2 4 2 2 2 2 2 2 3 2 2 2" table="0" count="8">
      <tableStyleElement type="wholeTable" dxfId="505"/>
      <tableStyleElement type="headerRow" dxfId="504"/>
      <tableStyleElement type="totalRow" dxfId="503"/>
      <tableStyleElement type="firstHeaderCell" dxfId="502"/>
      <tableStyleElement type="firstSubtotalColumn" dxfId="501"/>
      <tableStyleElement type="secondSubtotalColumn" dxfId="500"/>
      <tableStyleElement type="thirdSubtotalColumn" dxfId="499"/>
      <tableStyleElement type="firstSubtotalRow" dxfId="498"/>
    </tableStyle>
    <tableStyle name="MojStyle2 13 2 4 2 2 2 2 2 2 3 2 2 2 2" table="0" count="8">
      <tableStyleElement type="wholeTable" dxfId="497"/>
      <tableStyleElement type="headerRow" dxfId="496"/>
      <tableStyleElement type="totalRow" dxfId="495"/>
      <tableStyleElement type="firstHeaderCell" dxfId="494"/>
      <tableStyleElement type="firstSubtotalColumn" dxfId="493"/>
      <tableStyleElement type="secondSubtotalColumn" dxfId="492"/>
      <tableStyleElement type="thirdSubtotalColumn" dxfId="491"/>
      <tableStyleElement type="firstSubtotalRow" dxfId="490"/>
    </tableStyle>
    <tableStyle name="MojStyle2 13 2 4 2 2 2 2 2 2 3 2 2 2 2 2" table="0" count="8">
      <tableStyleElement type="wholeTable" dxfId="489"/>
      <tableStyleElement type="headerRow" dxfId="488"/>
      <tableStyleElement type="totalRow" dxfId="487"/>
      <tableStyleElement type="firstHeaderCell" dxfId="486"/>
      <tableStyleElement type="firstSubtotalColumn" dxfId="485"/>
      <tableStyleElement type="secondSubtotalColumn" dxfId="484"/>
      <tableStyleElement type="thirdSubtotalColumn" dxfId="483"/>
      <tableStyleElement type="firstSubtotalRow" dxfId="482"/>
    </tableStyle>
    <tableStyle name="MojStyle2 13 2 4 2 2 2 2 2 2 3 2 2 2 2 2 2" table="0" count="8">
      <tableStyleElement type="wholeTable" dxfId="481"/>
      <tableStyleElement type="headerRow" dxfId="480"/>
      <tableStyleElement type="totalRow" dxfId="479"/>
      <tableStyleElement type="firstHeaderCell" dxfId="478"/>
      <tableStyleElement type="firstSubtotalColumn" dxfId="477"/>
      <tableStyleElement type="secondSubtotalColumn" dxfId="476"/>
      <tableStyleElement type="thirdSubtotalColumn" dxfId="475"/>
      <tableStyleElement type="firstSubtotalRow" dxfId="474"/>
    </tableStyle>
    <tableStyle name="MojStyle2 13 2 4 2 2 2 2 2 2 3 2 2 2 2 2 2 2" table="0" count="8">
      <tableStyleElement type="wholeTable" dxfId="473"/>
      <tableStyleElement type="headerRow" dxfId="472"/>
      <tableStyleElement type="totalRow" dxfId="471"/>
      <tableStyleElement type="firstHeaderCell" dxfId="470"/>
      <tableStyleElement type="firstSubtotalColumn" dxfId="469"/>
      <tableStyleElement type="secondSubtotalColumn" dxfId="468"/>
      <tableStyleElement type="thirdSubtotalColumn" dxfId="467"/>
      <tableStyleElement type="firstSubtotalRow" dxfId="466"/>
    </tableStyle>
    <tableStyle name="MojStyle2 13 2 4 2 2 2 2 2 2 3 2 2 2 2 2 2 2 2" table="0" count="8">
      <tableStyleElement type="wholeTable" dxfId="465"/>
      <tableStyleElement type="headerRow" dxfId="464"/>
      <tableStyleElement type="totalRow" dxfId="463"/>
      <tableStyleElement type="firstHeaderCell" dxfId="462"/>
      <tableStyleElement type="firstSubtotalColumn" dxfId="461"/>
      <tableStyleElement type="secondSubtotalColumn" dxfId="460"/>
      <tableStyleElement type="thirdSubtotalColumn" dxfId="459"/>
      <tableStyleElement type="firstSubtotalRow" dxfId="458"/>
    </tableStyle>
    <tableStyle name="MojStyle2 13 2 4 2 2 2 2 2 2 3 2 2 2 2 2 2 2 3" table="0" count="8">
      <tableStyleElement type="wholeTable" dxfId="457"/>
      <tableStyleElement type="headerRow" dxfId="456"/>
      <tableStyleElement type="totalRow" dxfId="455"/>
      <tableStyleElement type="firstHeaderCell" dxfId="454"/>
      <tableStyleElement type="firstSubtotalColumn" dxfId="453"/>
      <tableStyleElement type="secondSubtotalColumn" dxfId="452"/>
      <tableStyleElement type="thirdSubtotalColumn" dxfId="451"/>
      <tableStyleElement type="firstSubtotalRow" dxfId="450"/>
    </tableStyle>
    <tableStyle name="MojStyle2 13 2 4 2 2 2 2 2 2 3 2 2 2 2 2 2 2 3 2" table="0" count="8">
      <tableStyleElement type="wholeTable" dxfId="449"/>
      <tableStyleElement type="headerRow" dxfId="448"/>
      <tableStyleElement type="totalRow" dxfId="447"/>
      <tableStyleElement type="firstHeaderCell" dxfId="446"/>
      <tableStyleElement type="firstSubtotalColumn" dxfId="445"/>
      <tableStyleElement type="secondSubtotalColumn" dxfId="444"/>
      <tableStyleElement type="thirdSubtotalColumn" dxfId="443"/>
      <tableStyleElement type="firstSubtotalRow" dxfId="442"/>
    </tableStyle>
    <tableStyle name="MojStyle2 13 2 4 2 2 2 2 2 2 3 2 2 2 2 2 2 2 3 2 2" table="0" count="8">
      <tableStyleElement type="wholeTable" dxfId="441"/>
      <tableStyleElement type="headerRow" dxfId="440"/>
      <tableStyleElement type="totalRow" dxfId="439"/>
      <tableStyleElement type="firstHeaderCell" dxfId="438"/>
      <tableStyleElement type="firstSubtotalColumn" dxfId="437"/>
      <tableStyleElement type="secondSubtotalColumn" dxfId="436"/>
      <tableStyleElement type="thirdSubtotalColumn" dxfId="435"/>
      <tableStyleElement type="firstSubtotalRow" dxfId="434"/>
    </tableStyle>
    <tableStyle name="MojStyle2 13 2 4 2 2 2 2 2 2 3 2 2 2 2 2 2 2 3 2 2 2" table="0" count="8">
      <tableStyleElement type="wholeTable" dxfId="433"/>
      <tableStyleElement type="headerRow" dxfId="432"/>
      <tableStyleElement type="totalRow" dxfId="431"/>
      <tableStyleElement type="firstHeaderCell" dxfId="430"/>
      <tableStyleElement type="firstSubtotalColumn" dxfId="429"/>
      <tableStyleElement type="secondSubtotalColumn" dxfId="428"/>
      <tableStyleElement type="thirdSubtotalColumn" dxfId="427"/>
      <tableStyleElement type="firstSubtotalRow" dxfId="426"/>
    </tableStyle>
    <tableStyle name="MojStyle2 13 2 4 2 2 2 2 2 2 3 2 2 2 2 2 2 2 3 2 2 2 2" table="0" count="8">
      <tableStyleElement type="wholeTable" dxfId="425"/>
      <tableStyleElement type="headerRow" dxfId="424"/>
      <tableStyleElement type="totalRow" dxfId="423"/>
      <tableStyleElement type="firstHeaderCell" dxfId="422"/>
      <tableStyleElement type="firstSubtotalColumn" dxfId="421"/>
      <tableStyleElement type="secondSubtotalColumn" dxfId="420"/>
      <tableStyleElement type="thirdSubtotalColumn" dxfId="419"/>
      <tableStyleElement type="firstSubtotalRow" dxfId="418"/>
    </tableStyle>
    <tableStyle name="MojStyle2 13 2 4 2 2 2 2 2 2 3 2 2 2 2 2 2 2 3 2 2 2 2 2" table="0" count="8">
      <tableStyleElement type="wholeTable" dxfId="417"/>
      <tableStyleElement type="headerRow" dxfId="416"/>
      <tableStyleElement type="totalRow" dxfId="415"/>
      <tableStyleElement type="firstHeaderCell" dxfId="414"/>
      <tableStyleElement type="firstSubtotalColumn" dxfId="413"/>
      <tableStyleElement type="secondSubtotalColumn" dxfId="412"/>
      <tableStyleElement type="thirdSubtotalColumn" dxfId="411"/>
      <tableStyleElement type="firstSubtotalRow" dxfId="410"/>
    </tableStyle>
    <tableStyle name="MojStyle2 13 2 4 2 2 2 2 2 2 3 2 2 2 2 2 2 2 3 2 2 2 2 3" table="0" count="8">
      <tableStyleElement type="wholeTable" dxfId="409"/>
      <tableStyleElement type="headerRow" dxfId="408"/>
      <tableStyleElement type="totalRow" dxfId="407"/>
      <tableStyleElement type="firstHeaderCell" dxfId="406"/>
      <tableStyleElement type="firstSubtotalColumn" dxfId="405"/>
      <tableStyleElement type="secondSubtotalColumn" dxfId="404"/>
      <tableStyleElement type="thirdSubtotalColumn" dxfId="403"/>
      <tableStyleElement type="firstSubtotalRow" dxfId="402"/>
    </tableStyle>
    <tableStyle name="MojStyle2 13 2 4 2 2 2 2 2 2 3 2 2 2 2 2 2 2 3 2 2 2 2 3 2" table="0" count="8">
      <tableStyleElement type="wholeTable" dxfId="401"/>
      <tableStyleElement type="headerRow" dxfId="400"/>
      <tableStyleElement type="totalRow" dxfId="399"/>
      <tableStyleElement type="firstHeaderCell" dxfId="398"/>
      <tableStyleElement type="firstSubtotalColumn" dxfId="397"/>
      <tableStyleElement type="secondSubtotalColumn" dxfId="396"/>
      <tableStyleElement type="thirdSubtotalColumn" dxfId="395"/>
      <tableStyleElement type="firstSubtotalRow" dxfId="394"/>
    </tableStyle>
    <tableStyle name="MojStyle2 13 2 4 2 2 2 2 2 2 3 2 2 2 2 2 2 2 3 2 2 2 2 3 2 2" table="0" count="8">
      <tableStyleElement type="wholeTable" dxfId="393"/>
      <tableStyleElement type="headerRow" dxfId="392"/>
      <tableStyleElement type="totalRow" dxfId="391"/>
      <tableStyleElement type="firstHeaderCell" dxfId="390"/>
      <tableStyleElement type="firstSubtotalColumn" dxfId="389"/>
      <tableStyleElement type="secondSubtotalColumn" dxfId="388"/>
      <tableStyleElement type="thirdSubtotalColumn" dxfId="387"/>
      <tableStyleElement type="firstSubtotalRow" dxfId="386"/>
    </tableStyle>
    <tableStyle name="MojStyle2 13 2 4 2 2 2 2 2 2 3 2 2 2 2 2 2 2 3 2 2 2 2 3 2 2 2" table="0" count="8">
      <tableStyleElement type="wholeTable" dxfId="385"/>
      <tableStyleElement type="headerRow" dxfId="384"/>
      <tableStyleElement type="totalRow" dxfId="383"/>
      <tableStyleElement type="firstHeaderCell" dxfId="382"/>
      <tableStyleElement type="firstSubtotalColumn" dxfId="381"/>
      <tableStyleElement type="secondSubtotalColumn" dxfId="380"/>
      <tableStyleElement type="thirdSubtotalColumn" dxfId="379"/>
      <tableStyleElement type="firstSubtotalRow" dxfId="378"/>
    </tableStyle>
    <tableStyle name="MojStyle2 13 2 4 2 2 2 2 2 2 3 2 2 2 3" table="0" count="8">
      <tableStyleElement type="wholeTable" dxfId="377"/>
      <tableStyleElement type="headerRow" dxfId="376"/>
      <tableStyleElement type="totalRow" dxfId="375"/>
      <tableStyleElement type="firstHeaderCell" dxfId="374"/>
      <tableStyleElement type="firstSubtotalColumn" dxfId="373"/>
      <tableStyleElement type="secondSubtotalColumn" dxfId="372"/>
      <tableStyleElement type="thirdSubtotalColumn" dxfId="371"/>
      <tableStyleElement type="firstSubtotalRow" dxfId="370"/>
    </tableStyle>
    <tableStyle name="MojStyle2 2" table="0" count="8">
      <tableStyleElement type="wholeTable" dxfId="369"/>
      <tableStyleElement type="headerRow" dxfId="368"/>
      <tableStyleElement type="totalRow" dxfId="367"/>
      <tableStyleElement type="firstHeaderCell" dxfId="366"/>
      <tableStyleElement type="firstSubtotalColumn" dxfId="365"/>
      <tableStyleElement type="secondSubtotalColumn" dxfId="364"/>
      <tableStyleElement type="thirdSubtotalColumn" dxfId="363"/>
      <tableStyleElement type="firstSubtotalRow" dxfId="362"/>
    </tableStyle>
    <tableStyle name="MojStyle2 3" table="0" count="8">
      <tableStyleElement type="wholeTable" dxfId="361"/>
      <tableStyleElement type="headerRow" dxfId="360"/>
      <tableStyleElement type="totalRow" dxfId="359"/>
      <tableStyleElement type="firstHeaderCell" dxfId="358"/>
      <tableStyleElement type="firstSubtotalColumn" dxfId="357"/>
      <tableStyleElement type="secondSubtotalColumn" dxfId="356"/>
      <tableStyleElement type="thirdSubtotalColumn" dxfId="355"/>
      <tableStyleElement type="firstSubtotalRow" dxfId="354"/>
    </tableStyle>
    <tableStyle name="MojStyle2 4" table="0" count="8">
      <tableStyleElement type="wholeTable" dxfId="353"/>
      <tableStyleElement type="headerRow" dxfId="352"/>
      <tableStyleElement type="totalRow" dxfId="351"/>
      <tableStyleElement type="firstHeaderCell" dxfId="350"/>
      <tableStyleElement type="firstSubtotalColumn" dxfId="349"/>
      <tableStyleElement type="secondSubtotalColumn" dxfId="348"/>
      <tableStyleElement type="thirdSubtotalColumn" dxfId="347"/>
      <tableStyleElement type="firstSubtotalRow" dxfId="346"/>
    </tableStyle>
    <tableStyle name="MojStyle2 5" table="0" count="8">
      <tableStyleElement type="wholeTable" dxfId="345"/>
      <tableStyleElement type="headerRow" dxfId="344"/>
      <tableStyleElement type="totalRow" dxfId="343"/>
      <tableStyleElement type="firstHeaderCell" dxfId="342"/>
      <tableStyleElement type="firstSubtotalColumn" dxfId="341"/>
      <tableStyleElement type="secondSubtotalColumn" dxfId="340"/>
      <tableStyleElement type="thirdSubtotalColumn" dxfId="339"/>
      <tableStyleElement type="firstSubtotalRow" dxfId="338"/>
    </tableStyle>
    <tableStyle name="MojStyle2 6" table="0" count="8">
      <tableStyleElement type="wholeTable" dxfId="337"/>
      <tableStyleElement type="headerRow" dxfId="336"/>
      <tableStyleElement type="totalRow" dxfId="335"/>
      <tableStyleElement type="firstHeaderCell" dxfId="334"/>
      <tableStyleElement type="firstSubtotalColumn" dxfId="333"/>
      <tableStyleElement type="secondSubtotalColumn" dxfId="332"/>
      <tableStyleElement type="thirdSubtotalColumn" dxfId="331"/>
      <tableStyleElement type="firstSubtotalRow" dxfId="330"/>
    </tableStyle>
    <tableStyle name="MojStyle2 7" table="0" count="8">
      <tableStyleElement type="wholeTable" dxfId="329"/>
      <tableStyleElement type="headerRow" dxfId="328"/>
      <tableStyleElement type="totalRow" dxfId="327"/>
      <tableStyleElement type="firstHeaderCell" dxfId="326"/>
      <tableStyleElement type="firstSubtotalColumn" dxfId="325"/>
      <tableStyleElement type="secondSubtotalColumn" dxfId="324"/>
      <tableStyleElement type="thirdSubtotalColumn" dxfId="323"/>
      <tableStyleElement type="firstSubtotalRow" dxfId="322"/>
    </tableStyle>
    <tableStyle name="MojStyle2 8" table="0" count="8">
      <tableStyleElement type="wholeTable" dxfId="321"/>
      <tableStyleElement type="headerRow" dxfId="320"/>
      <tableStyleElement type="totalRow" dxfId="319"/>
      <tableStyleElement type="firstHeaderCell" dxfId="318"/>
      <tableStyleElement type="firstSubtotalColumn" dxfId="317"/>
      <tableStyleElement type="secondSubtotalColumn" dxfId="316"/>
      <tableStyleElement type="thirdSubtotalColumn" dxfId="315"/>
      <tableStyleElement type="firstSubtotalRow" dxfId="314"/>
    </tableStyle>
    <tableStyle name="MojStyle2 9" table="0" count="8">
      <tableStyleElement type="wholeTable" dxfId="313"/>
      <tableStyleElement type="headerRow" dxfId="312"/>
      <tableStyleElement type="totalRow" dxfId="311"/>
      <tableStyleElement type="firstHeaderCell" dxfId="310"/>
      <tableStyleElement type="firstSubtotalColumn" dxfId="309"/>
      <tableStyleElement type="secondSubtotalColumn" dxfId="308"/>
      <tableStyleElement type="thirdSubtotalColumn" dxfId="307"/>
      <tableStyleElement type="firstSubtotalRow" dxfId="306"/>
    </tableStyle>
  </tableStyles>
  <colors>
    <mruColors>
      <color rgb="FF7CBF33"/>
      <color rgb="FF6CA62C"/>
      <color rgb="FF66FF33"/>
      <color rgb="FF99FF99"/>
      <color rgb="FFCCFF99"/>
      <color rgb="FFDDE7F2"/>
      <color rgb="FF9BBCE5"/>
      <color rgb="FFFAC092"/>
      <color rgb="FFB6CEEC"/>
      <color rgb="FFB9D1E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2.xml"/><Relationship Id="rId10" Type="http://schemas.openxmlformats.org/officeDocument/2006/relationships/connections" Target="connection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 wydatków.xlsm]12.19!PivotTable2</c:name>
    <c:fmtId val="122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Wszystkie k</a:t>
            </a:r>
            <a:r>
              <a:rPr lang="en-US"/>
              <a:t>ategorie</a:t>
            </a:r>
          </a:p>
        </c:rich>
      </c:tx>
      <c:layout>
        <c:manualLayout>
          <c:xMode val="edge"/>
          <c:yMode val="edge"/>
          <c:x val="0.20974514140794287"/>
          <c:y val="0"/>
        </c:manualLayout>
      </c:layout>
      <c:overlay val="0"/>
    </c:title>
    <c:autoTitleDeleted val="0"/>
    <c:pivotFmts>
      <c:pivotFmt>
        <c:idx val="0"/>
        <c:spPr>
          <a:scene3d>
            <a:camera prst="orthographicFront"/>
            <a:lightRig rig="threePt" dir="t"/>
          </a:scene3d>
          <a:sp3d>
            <a:bevelT w="1905000" h="1905000"/>
            <a:bevelB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dLbl>
          <c:idx val="0"/>
          <c:layout>
            <c:manualLayout>
              <c:x val="9.0634446556289008E-2"/>
              <c:y val="1.1256561679790045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cene3d>
            <a:camera prst="orthographicFront"/>
            <a:lightRig rig="threePt" dir="t"/>
          </a:scene3d>
          <a:sp3d>
            <a:bevelT w="1905000" h="1905000"/>
            <a:bevelB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dLbl>
          <c:idx val="0"/>
          <c:layout>
            <c:manualLayout>
              <c:x val="9.0634446556289008E-2"/>
              <c:y val="1.1256561679790045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spPr>
          <a:scene3d>
            <a:camera prst="orthographicFront"/>
            <a:lightRig rig="threePt" dir="t"/>
          </a:scene3d>
          <a:sp3d>
            <a:bevelT w="1905000" h="1905000"/>
            <a:bevelB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dLbl>
          <c:idx val="0"/>
          <c:layout>
            <c:manualLayout>
              <c:x val="9.0634446556289008E-2"/>
              <c:y val="1.1256561679790045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"/>
        <c:spPr>
          <a:scene3d>
            <a:camera prst="orthographicFront"/>
            <a:lightRig rig="threePt" dir="t"/>
          </a:scene3d>
          <a:sp3d>
            <a:bevelT w="635000" h="635000"/>
            <a:bevelB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"/>
        <c:dLbl>
          <c:idx val="0"/>
          <c:layout>
            <c:manualLayout>
              <c:x val="9.0634446556289008E-2"/>
              <c:y val="1.1256561679790045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8"/>
        <c:spPr>
          <a:scene3d>
            <a:camera prst="orthographicFront"/>
            <a:lightRig rig="threePt" dir="t"/>
          </a:scene3d>
          <a:sp3d>
            <a:bevelT w="635000" h="635000"/>
            <a:bevelB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9"/>
        <c:spPr>
          <a:scene3d>
            <a:camera prst="orthographicFront"/>
            <a:lightRig rig="threePt" dir="t"/>
          </a:scene3d>
          <a:sp3d>
            <a:bevelT w="635000" h="635000"/>
            <a:bevelB w="635000" h="635000"/>
          </a:sp3d>
        </c:spPr>
        <c:marker>
          <c:symbol val="none"/>
        </c:marker>
        <c:dLbl>
          <c:idx val="0"/>
          <c:numFmt formatCode="General" sourceLinked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</c:pivotFmts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0667716535433091E-2"/>
          <c:y val="0.11823636628754752"/>
          <c:w val="0.92028806511545558"/>
          <c:h val="0.82822652376784756"/>
        </c:manualLayout>
      </c:layout>
      <c:pie3DChart>
        <c:varyColors val="1"/>
        <c:ser>
          <c:idx val="0"/>
          <c:order val="0"/>
          <c:tx>
            <c:strRef>
              <c:f>'12.19'!$I$39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635000" h="635000"/>
            </a:sp3d>
          </c:spPr>
          <c:dLbls>
            <c:spPr/>
            <c:txPr>
              <a:bodyPr/>
              <a:lstStyle/>
              <a:p>
                <a:pPr>
                  <a:defRPr/>
                </a:pPr>
                <a:endParaRPr lang="pl-PL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'12.19'!$H$40:$H$42</c:f>
              <c:strCache>
                <c:ptCount val="2"/>
                <c:pt idx="0">
                  <c:v>Żywność</c:v>
                </c:pt>
                <c:pt idx="1">
                  <c:v>Zabawa</c:v>
                </c:pt>
              </c:strCache>
            </c:strRef>
          </c:cat>
          <c:val>
            <c:numRef>
              <c:f>'12.19'!$I$40:$I$42</c:f>
              <c:numCache>
                <c:formatCode>0.00</c:formatCode>
                <c:ptCount val="2"/>
                <c:pt idx="0">
                  <c:v>19.920000000000002</c:v>
                </c:pt>
                <c:pt idx="1">
                  <c:v>35.5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effectLst/>
        <a:scene3d>
          <a:camera prst="orthographicFront"/>
          <a:lightRig rig="threePt" dir="t"/>
        </a:scene3d>
        <a:sp3d>
          <a:bevelT prst="relaxedInset"/>
        </a:sp3d>
      </c:spPr>
    </c:plotArea>
    <c:plotVisOnly val="1"/>
    <c:dispBlanksAs val="zero"/>
    <c:showDLblsOverMax val="0"/>
  </c:chart>
  <c:spPr>
    <a:gradFill>
      <a:gsLst>
        <a:gs pos="100000">
          <a:schemeClr val="tx2">
            <a:lumMod val="40000"/>
            <a:lumOff val="60000"/>
          </a:schemeClr>
        </a:gs>
        <a:gs pos="0">
          <a:schemeClr val="accent3">
            <a:lumMod val="20000"/>
            <a:lumOff val="8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effectLst>
      <a:innerShdw blurRad="114300">
        <a:prstClr val="black"/>
      </a:innerShdw>
    </a:effectLst>
    <a:scene3d>
      <a:camera prst="orthographicFront"/>
      <a:lightRig rig="threePt" dir="t"/>
    </a:scene3d>
    <a:sp3d>
      <a:bevelT w="133350" h="133350"/>
    </a:sp3d>
  </c:spPr>
  <c:printSettings>
    <c:headerFooter/>
    <c:pageMargins b="0.75000000000001465" l="0.70000000000000062" r="0.70000000000000062" t="0.7500000000000146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 wydatków.xlsm]12.19!PivotTable3</c:name>
    <c:fmtId val="118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Finanse ogółem</a:t>
            </a:r>
            <a:endParaRPr lang="en-US"/>
          </a:p>
        </c:rich>
      </c:tx>
      <c:layout>
        <c:manualLayout>
          <c:xMode val="edge"/>
          <c:yMode val="edge"/>
          <c:x val="0.29463521757766858"/>
          <c:y val="1.2747200075634508E-2"/>
        </c:manualLayout>
      </c:layout>
      <c:overlay val="0"/>
    </c:title>
    <c:autoTitleDeleted val="0"/>
    <c:pivotFmts>
      <c:pivotFmt>
        <c:idx val="0"/>
        <c:spPr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spPr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</c:pivotFmts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5500918061735212E-2"/>
          <c:y val="0.1253883872442984"/>
          <c:w val="0.92849242837933854"/>
          <c:h val="0.80961100628715565"/>
        </c:manualLayout>
      </c:layout>
      <c:pie3DChart>
        <c:varyColors val="1"/>
        <c:ser>
          <c:idx val="0"/>
          <c:order val="0"/>
          <c:tx>
            <c:strRef>
              <c:f>'12.19'!$L$39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635000" h="635000"/>
            </a:sp3d>
          </c:spPr>
          <c:dLbls>
            <c:spPr/>
            <c:txPr>
              <a:bodyPr/>
              <a:lstStyle/>
              <a:p>
                <a:pPr>
                  <a:defRPr/>
                </a:pPr>
                <a:endParaRPr lang="pl-PL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'12.19'!$K$40</c:f>
              <c:strCache>
                <c:ptCount val="1"/>
                <c:pt idx="0">
                  <c:v>Wydatek</c:v>
                </c:pt>
              </c:strCache>
            </c:strRef>
          </c:cat>
          <c:val>
            <c:numRef>
              <c:f>'12.19'!$L$40</c:f>
              <c:numCache>
                <c:formatCode>0.00</c:formatCode>
                <c:ptCount val="1"/>
                <c:pt idx="0">
                  <c:v>55.42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plotVisOnly val="1"/>
    <c:dispBlanksAs val="zero"/>
    <c:showDLblsOverMax val="0"/>
  </c:chart>
  <c:spPr>
    <a:gradFill>
      <a:gsLst>
        <a:gs pos="100000">
          <a:schemeClr val="tx2">
            <a:lumMod val="40000"/>
            <a:lumOff val="60000"/>
          </a:schemeClr>
        </a:gs>
        <a:gs pos="0">
          <a:schemeClr val="accent3">
            <a:lumMod val="20000"/>
            <a:lumOff val="8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effectLst>
      <a:innerShdw blurRad="114300">
        <a:prstClr val="black"/>
      </a:innerShdw>
    </a:effectLst>
    <a:scene3d>
      <a:camera prst="orthographicFront"/>
      <a:lightRig rig="threePt" dir="t"/>
    </a:scene3d>
    <a:sp3d>
      <a:bevelT w="133350" h="133350"/>
    </a:sp3d>
  </c:spPr>
  <c:printSettings>
    <c:headerFooter/>
    <c:pageMargins b="0.75000000000001465" l="0.70000000000000062" r="0.70000000000000062" t="0.7500000000000146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 wydatków.xlsm]12.19!PivotTable4</c:name>
    <c:fmtId val="117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Struktura wydatków</a:t>
            </a:r>
            <a:endParaRPr lang="en-US"/>
          </a:p>
        </c:rich>
      </c:tx>
      <c:layout>
        <c:manualLayout>
          <c:xMode val="edge"/>
          <c:yMode val="edge"/>
          <c:x val="0.25154835126699726"/>
          <c:y val="1.7497812773403322E-2"/>
        </c:manualLayout>
      </c:layout>
      <c:overlay val="0"/>
    </c:title>
    <c:autoTitleDeleted val="0"/>
    <c:pivotFmts>
      <c:pivotFmt>
        <c:idx val="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dLbl>
          <c:idx val="0"/>
          <c:layout>
            <c:manualLayout>
              <c:x val="-7.39151842874987E-2"/>
              <c:y val="-9.524763493372268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"/>
        <c:dLbl>
          <c:idx val="0"/>
          <c:layout>
            <c:manualLayout>
              <c:x val="-7.39151842874987E-2"/>
              <c:y val="-9.524763493372268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2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3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4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5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6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7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8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9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6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7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8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09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0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1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2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3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4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  <c:pivotFmt>
        <c:idx val="115"/>
        <c:spPr>
          <a:scene3d>
            <a:camera prst="orthographicFront"/>
            <a:lightRig rig="threePt" dir="t"/>
          </a:scene3d>
          <a:sp3d>
            <a:bevelT w="635000" h="635000"/>
          </a:sp3d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1"/>
          <c:showBubbleSize val="0"/>
        </c:dLbl>
      </c:pivotFmt>
    </c:pivotFmts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4369023216086028E-2"/>
          <c:y val="0.1367231700204142"/>
          <c:w val="0.96170582066062194"/>
          <c:h val="0.78096420239136777"/>
        </c:manualLayout>
      </c:layout>
      <c:pie3DChart>
        <c:varyColors val="1"/>
        <c:ser>
          <c:idx val="0"/>
          <c:order val="0"/>
          <c:tx>
            <c:strRef>
              <c:f>'12.19'!$O$39:$O$40</c:f>
              <c:strCache>
                <c:ptCount val="1"/>
                <c:pt idx="0">
                  <c:v>Wydatek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635000" h="635000"/>
            </a:sp3d>
          </c:spPr>
          <c:dLbls>
            <c:spPr/>
            <c:txPr>
              <a:bodyPr/>
              <a:lstStyle/>
              <a:p>
                <a:pPr>
                  <a:defRPr/>
                </a:pPr>
                <a:endParaRPr lang="pl-PL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'12.19'!$N$41:$N$43</c:f>
              <c:strCache>
                <c:ptCount val="2"/>
                <c:pt idx="0">
                  <c:v>Żywność</c:v>
                </c:pt>
                <c:pt idx="1">
                  <c:v>Zabawa</c:v>
                </c:pt>
              </c:strCache>
            </c:strRef>
          </c:cat>
          <c:val>
            <c:numRef>
              <c:f>'12.19'!$O$41:$O$43</c:f>
              <c:numCache>
                <c:formatCode>General</c:formatCode>
                <c:ptCount val="2"/>
                <c:pt idx="0">
                  <c:v>19.920000000000002</c:v>
                </c:pt>
                <c:pt idx="1">
                  <c:v>35.5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gradFill>
      <a:gsLst>
        <a:gs pos="100000">
          <a:schemeClr val="tx2">
            <a:lumMod val="40000"/>
            <a:lumOff val="60000"/>
          </a:schemeClr>
        </a:gs>
        <a:gs pos="0">
          <a:schemeClr val="accent3">
            <a:lumMod val="20000"/>
            <a:lumOff val="8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scene3d>
      <a:camera prst="orthographicFront"/>
      <a:lightRig rig="threePt" dir="t"/>
    </a:scene3d>
    <a:sp3d>
      <a:bevelT w="133350" h="133350"/>
    </a:sp3d>
  </c:spPr>
  <c:printSettings>
    <c:headerFooter/>
    <c:pageMargins b="0.75000000000001465" l="0.70000000000000062" r="0.70000000000000062" t="0.7500000000000146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pivotSource>
    <c:name>[Monitor wydatków.xlsm]12.19!PivotTable5</c:name>
    <c:fmtId val="116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Przychody i wydatki</a:t>
            </a:r>
            <a:endParaRPr lang="en-US"/>
          </a:p>
        </c:rich>
      </c:tx>
      <c:layout>
        <c:manualLayout>
          <c:xMode val="edge"/>
          <c:yMode val="edge"/>
          <c:x val="0.24064905115321344"/>
          <c:y val="1.7497812773403322E-2"/>
        </c:manualLayout>
      </c:layout>
      <c:overlay val="1"/>
    </c:title>
    <c:autoTitleDeleted val="0"/>
    <c:pivotFmts>
      <c:pivotFmt>
        <c:idx val="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"/>
        <c:spPr>
          <a:scene3d>
            <a:camera prst="orthographicFront"/>
            <a:lightRig rig="threePt" dir="t"/>
          </a:scene3d>
          <a:sp3d>
            <a:bevelT/>
          </a:sp3d>
        </c:spP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cene3d>
            <a:camera prst="orthographicFront"/>
            <a:lightRig rig="threePt" dir="t"/>
          </a:scene3d>
          <a:sp3d>
            <a:bevelT/>
          </a:sp3d>
        </c:spP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spPr>
          <a:scene3d>
            <a:camera prst="orthographicFront"/>
            <a:lightRig rig="threePt" dir="t"/>
          </a:scene3d>
          <a:sp3d>
            <a:bevelT/>
          </a:sp3d>
        </c:spP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spPr>
          <a:scene3d>
            <a:camera prst="orthographicFront"/>
            <a:lightRig rig="threePt" dir="t"/>
          </a:scene3d>
          <a:sp3d>
            <a:bevelT/>
          </a:sp3d>
        </c:spP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</c:pivotFmt>
      <c:pivotFmt>
        <c:idx val="6"/>
        <c:spPr>
          <a:scene3d>
            <a:camera prst="orthographicFront"/>
            <a:lightRig rig="threePt" dir="t"/>
          </a:scene3d>
          <a:sp3d>
            <a:bevelT/>
          </a:sp3d>
        </c:spP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"/>
        <c:spPr>
          <a:scene3d>
            <a:camera prst="orthographicFront"/>
            <a:lightRig rig="threePt" dir="t"/>
          </a:scene3d>
          <a:sp3d>
            <a:bevelT/>
          </a:sp3d>
        </c:spP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8"/>
        <c:spPr>
          <a:scene3d>
            <a:camera prst="orthographicFront"/>
            <a:lightRig rig="threePt" dir="t"/>
          </a:scene3d>
          <a:sp3d>
            <a:bevelT/>
          </a:sp3d>
        </c:spP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5"/>
      </c:pivotFmt>
      <c:pivotFmt>
        <c:idx val="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1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2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3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3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4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4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5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5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6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6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7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7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8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89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0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0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0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0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0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0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0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0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0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0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1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2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2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2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2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2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2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2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2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2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2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3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4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4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4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4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4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4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4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4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4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4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5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5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5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5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5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5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5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5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5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5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6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6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7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7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7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7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7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7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7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7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7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7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5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6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87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88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8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  <c:pivotFmt>
        <c:idx val="990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91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92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93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994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1"/>
          <c:showPercent val="0"/>
          <c:showBubbleSize val="0"/>
        </c:dLbl>
      </c:pivotFmt>
    </c:pivotFmts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'12.19'!$R$39:$R$40</c:f>
              <c:strCache>
                <c:ptCount val="1"/>
                <c:pt idx="0">
                  <c:v>Żywność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l-PL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'12.19'!$Q$41:$Q$42</c:f>
              <c:strCache>
                <c:ptCount val="1"/>
                <c:pt idx="0">
                  <c:v>Wydatek</c:v>
                </c:pt>
              </c:strCache>
            </c:strRef>
          </c:cat>
          <c:val>
            <c:numRef>
              <c:f>'12.19'!$R$41:$R$42</c:f>
              <c:numCache>
                <c:formatCode>0.00</c:formatCode>
                <c:ptCount val="1"/>
                <c:pt idx="0">
                  <c:v>19.920000000000002</c:v>
                </c:pt>
              </c:numCache>
            </c:numRef>
          </c:val>
        </c:ser>
        <c:ser>
          <c:idx val="1"/>
          <c:order val="1"/>
          <c:tx>
            <c:strRef>
              <c:f>'12.19'!$S$39:$S$40</c:f>
              <c:strCache>
                <c:ptCount val="1"/>
                <c:pt idx="0">
                  <c:v>Zabawa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l-PL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'12.19'!$Q$41:$Q$42</c:f>
              <c:strCache>
                <c:ptCount val="1"/>
                <c:pt idx="0">
                  <c:v>Wydatek</c:v>
                </c:pt>
              </c:strCache>
            </c:strRef>
          </c:cat>
          <c:val>
            <c:numRef>
              <c:f>'12.19'!$S$41:$S$42</c:f>
              <c:numCache>
                <c:formatCode>0.00</c:formatCode>
                <c:ptCount val="1"/>
                <c:pt idx="0">
                  <c:v>35.5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"/>
        <c:shape val="box"/>
        <c:axId val="511381504"/>
        <c:axId val="511383040"/>
        <c:axId val="0"/>
      </c:bar3DChart>
      <c:catAx>
        <c:axId val="511381504"/>
        <c:scaling>
          <c:orientation val="minMax"/>
        </c:scaling>
        <c:delete val="0"/>
        <c:axPos val="b"/>
        <c:majorTickMark val="out"/>
        <c:minorTickMark val="none"/>
        <c:tickLblPos val="nextTo"/>
        <c:crossAx val="511383040"/>
        <c:crosses val="autoZero"/>
        <c:auto val="1"/>
        <c:lblAlgn val="ctr"/>
        <c:lblOffset val="100"/>
        <c:noMultiLvlLbl val="0"/>
      </c:catAx>
      <c:valAx>
        <c:axId val="5113830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11381504"/>
        <c:crosses val="autoZero"/>
        <c:crossBetween val="between"/>
      </c:valAx>
      <c:spPr>
        <a:effectLst/>
        <a:scene3d>
          <a:camera prst="orthographicFront"/>
          <a:lightRig rig="threePt" dir="t"/>
        </a:scene3d>
        <a:sp3d>
          <a:bevelT w="6350"/>
        </a:sp3d>
      </c:spPr>
    </c:plotArea>
    <c:plotVisOnly val="1"/>
    <c:dispBlanksAs val="gap"/>
    <c:showDLblsOverMax val="0"/>
  </c:chart>
  <c:spPr>
    <a:gradFill flip="none" rotWithShape="1">
      <a:gsLst>
        <a:gs pos="0">
          <a:srgbClr val="DDE7F2"/>
        </a:gs>
        <a:gs pos="100000">
          <a:srgbClr val="9BBCE5"/>
        </a:gs>
      </a:gsLst>
      <a:lin ang="5400000" scaled="1"/>
      <a:tileRect/>
    </a:gradFill>
    <a:scene3d>
      <a:camera prst="orthographicFront"/>
      <a:lightRig rig="threePt" dir="t"/>
    </a:scene3d>
    <a:sp3d>
      <a:bevelT w="133350" h="133350"/>
    </a:sp3d>
  </c:spPr>
  <c:printSettings>
    <c:headerFooter/>
    <c:pageMargins b="0.75000000000001465" l="0.70000000000000062" r="0.70000000000000062" t="0.7500000000000146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19050</xdr:colOff>
      <xdr:row>9</xdr:row>
      <xdr:rowOff>0</xdr:rowOff>
    </xdr:to>
    <xdr:sp macro="[0]!StartInstrukcja" textlink="">
      <xdr:nvSpPr>
        <xdr:cNvPr id="2" name="Rounded Rectangle 3"/>
        <xdr:cNvSpPr/>
      </xdr:nvSpPr>
      <xdr:spPr>
        <a:xfrm>
          <a:off x="4657725" y="1476375"/>
          <a:ext cx="1543050" cy="381000"/>
        </a:xfrm>
        <a:prstGeom prst="roundRect">
          <a:avLst/>
        </a:prstGeom>
        <a:gradFill>
          <a:gsLst>
            <a:gs pos="100000">
              <a:schemeClr val="tx1">
                <a:lumMod val="85000"/>
                <a:lumOff val="15000"/>
              </a:schemeClr>
            </a:gs>
            <a:gs pos="100000">
              <a:schemeClr val="tx1">
                <a:lumMod val="75000"/>
                <a:lumOff val="25000"/>
              </a:schemeClr>
            </a:gs>
            <a:gs pos="49000">
              <a:schemeClr val="tx2">
                <a:lumMod val="60000"/>
                <a:lumOff val="40000"/>
              </a:schemeClr>
            </a:gs>
            <a:gs pos="0">
              <a:schemeClr val="tx1">
                <a:lumMod val="75000"/>
                <a:lumOff val="25000"/>
              </a:schemeClr>
            </a:gs>
          </a:gsLst>
          <a:lin ang="5400000" scaled="0"/>
        </a:gradFill>
        <a:scene3d>
          <a:camera prst="orthographicFront"/>
          <a:lightRig rig="threePt" dir="t">
            <a:rot lat="0" lon="0" rev="600000"/>
          </a:lightRig>
        </a:scene3d>
        <a:sp3d>
          <a:bevelT w="82550" h="50800"/>
          <a:bevelB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Instrukcja</a:t>
          </a:r>
          <a:endParaRPr lang="en-US" sz="1600" b="1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19050</xdr:colOff>
      <xdr:row>12</xdr:row>
      <xdr:rowOff>0</xdr:rowOff>
    </xdr:to>
    <xdr:sp macro="[0]!StartInfo" textlink="">
      <xdr:nvSpPr>
        <xdr:cNvPr id="3" name="Rounded Rectangle 3"/>
        <xdr:cNvSpPr/>
      </xdr:nvSpPr>
      <xdr:spPr>
        <a:xfrm>
          <a:off x="4657725" y="2047875"/>
          <a:ext cx="1543050" cy="381000"/>
        </a:xfrm>
        <a:prstGeom prst="roundRect">
          <a:avLst/>
        </a:prstGeom>
        <a:gradFill>
          <a:gsLst>
            <a:gs pos="100000">
              <a:schemeClr val="tx1">
                <a:lumMod val="85000"/>
                <a:lumOff val="15000"/>
              </a:schemeClr>
            </a:gs>
            <a:gs pos="100000">
              <a:schemeClr val="tx1">
                <a:lumMod val="75000"/>
                <a:lumOff val="25000"/>
              </a:schemeClr>
            </a:gs>
            <a:gs pos="49000">
              <a:schemeClr val="tx2">
                <a:lumMod val="60000"/>
                <a:lumOff val="40000"/>
              </a:schemeClr>
            </a:gs>
            <a:gs pos="0">
              <a:schemeClr val="tx1">
                <a:lumMod val="75000"/>
                <a:lumOff val="25000"/>
              </a:schemeClr>
            </a:gs>
          </a:gsLst>
          <a:lin ang="5400000" scaled="0"/>
        </a:gradFill>
        <a:scene3d>
          <a:camera prst="orthographicFront"/>
          <a:lightRig rig="threePt" dir="t">
            <a:rot lat="0" lon="0" rev="600000"/>
          </a:lightRig>
        </a:scene3d>
        <a:sp3d>
          <a:bevelT w="82550" h="50800"/>
          <a:bevelB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Info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6</xdr:row>
      <xdr:rowOff>19050</xdr:rowOff>
    </xdr:from>
    <xdr:to>
      <xdr:col>6</xdr:col>
      <xdr:colOff>533400</xdr:colOff>
      <xdr:row>40</xdr:row>
      <xdr:rowOff>47625</xdr:rowOff>
    </xdr:to>
    <xdr:sp macro="[0]!Uruchom_Form" textlink="">
      <xdr:nvSpPr>
        <xdr:cNvPr id="2" name="Rounded Rectangle 1"/>
        <xdr:cNvSpPr/>
      </xdr:nvSpPr>
      <xdr:spPr>
        <a:xfrm>
          <a:off x="3181350" y="1162050"/>
          <a:ext cx="1009650" cy="6505575"/>
        </a:xfrm>
        <a:prstGeom prst="roundRect">
          <a:avLst/>
        </a:prstGeom>
        <a:gradFill>
          <a:gsLst>
            <a:gs pos="100000">
              <a:schemeClr val="tx1">
                <a:lumMod val="75000"/>
                <a:lumOff val="25000"/>
              </a:schemeClr>
            </a:gs>
            <a:gs pos="100000">
              <a:srgbClr val="5C1313"/>
            </a:gs>
            <a:gs pos="0">
              <a:schemeClr val="tx1">
                <a:lumMod val="75000"/>
                <a:lumOff val="25000"/>
              </a:schemeClr>
            </a:gs>
            <a:gs pos="52000">
              <a:schemeClr val="tx2">
                <a:lumMod val="60000"/>
                <a:lumOff val="40000"/>
              </a:schemeClr>
            </a:gs>
          </a:gsLst>
          <a:lin ang="5400000" scaled="0"/>
        </a:gradFill>
        <a:effectLst/>
        <a:scene3d>
          <a:camera prst="orthographicFront"/>
          <a:lightRig rig="balanced" dir="t"/>
        </a:scene3d>
        <a:sp3d>
          <a:bevelT w="25400" h="508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ctr" anchorCtr="1"/>
        <a:lstStyle/>
        <a:p>
          <a:pPr algn="l"/>
          <a:r>
            <a:rPr lang="en-US" sz="1800" b="1"/>
            <a:t>Formularz</a:t>
          </a:r>
        </a:p>
      </xdr:txBody>
    </xdr:sp>
    <xdr:clientData/>
  </xdr:twoCellAnchor>
  <xdr:twoCellAnchor>
    <xdr:from>
      <xdr:col>0</xdr:col>
      <xdr:colOff>209550</xdr:colOff>
      <xdr:row>3</xdr:row>
      <xdr:rowOff>38100</xdr:rowOff>
    </xdr:from>
    <xdr:to>
      <xdr:col>4</xdr:col>
      <xdr:colOff>400050</xdr:colOff>
      <xdr:row>4</xdr:row>
      <xdr:rowOff>114300</xdr:rowOff>
    </xdr:to>
    <xdr:sp macro="[0]!Sorty" textlink="">
      <xdr:nvSpPr>
        <xdr:cNvPr id="3" name="Rounded Rectangle 2"/>
        <xdr:cNvSpPr/>
      </xdr:nvSpPr>
      <xdr:spPr>
        <a:xfrm>
          <a:off x="209550" y="609600"/>
          <a:ext cx="2628900" cy="266700"/>
        </a:xfrm>
        <a:prstGeom prst="roundRect">
          <a:avLst/>
        </a:prstGeom>
        <a:gradFill>
          <a:gsLst>
            <a:gs pos="100000">
              <a:schemeClr val="tx1">
                <a:lumMod val="85000"/>
                <a:lumOff val="15000"/>
              </a:schemeClr>
            </a:gs>
            <a:gs pos="100000">
              <a:srgbClr val="5C1313"/>
            </a:gs>
            <a:gs pos="49000">
              <a:schemeClr val="tx2">
                <a:lumMod val="60000"/>
                <a:lumOff val="40000"/>
              </a:schemeClr>
            </a:gs>
            <a:gs pos="0">
              <a:srgbClr val="640000"/>
            </a:gs>
          </a:gsLst>
          <a:lin ang="5400000" scaled="0"/>
        </a:gradFill>
        <a:scene3d>
          <a:camera prst="orthographicFront"/>
          <a:lightRig rig="soft" dir="t"/>
        </a:scene3d>
        <a:sp3d>
          <a:bevelT w="57150" h="50800"/>
          <a:bevelB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Sortuj i od</a:t>
          </a:r>
          <a:r>
            <a:rPr lang="pl-PL" sz="1100" b="1"/>
            <a:t>śwież statystyki</a:t>
          </a:r>
          <a:endParaRPr lang="en-US" sz="1100" b="1"/>
        </a:p>
      </xdr:txBody>
    </xdr:sp>
    <xdr:clientData/>
  </xdr:twoCellAnchor>
  <xdr:twoCellAnchor>
    <xdr:from>
      <xdr:col>18</xdr:col>
      <xdr:colOff>104774</xdr:colOff>
      <xdr:row>0</xdr:row>
      <xdr:rowOff>161925</xdr:rowOff>
    </xdr:from>
    <xdr:to>
      <xdr:col>23</xdr:col>
      <xdr:colOff>200025</xdr:colOff>
      <xdr:row>2</xdr:row>
      <xdr:rowOff>161925</xdr:rowOff>
    </xdr:to>
    <xdr:sp macro="[0]!NowyMiesiac" textlink="">
      <xdr:nvSpPr>
        <xdr:cNvPr id="4" name="Rounded Rectangle 3"/>
        <xdr:cNvSpPr/>
      </xdr:nvSpPr>
      <xdr:spPr>
        <a:xfrm>
          <a:off x="11077574" y="161925"/>
          <a:ext cx="3143251" cy="381000"/>
        </a:xfrm>
        <a:prstGeom prst="roundRect">
          <a:avLst/>
        </a:prstGeom>
        <a:gradFill>
          <a:gsLst>
            <a:gs pos="100000">
              <a:schemeClr val="tx1">
                <a:lumMod val="85000"/>
                <a:lumOff val="15000"/>
              </a:schemeClr>
            </a:gs>
            <a:gs pos="100000">
              <a:schemeClr val="tx1">
                <a:lumMod val="75000"/>
                <a:lumOff val="25000"/>
              </a:schemeClr>
            </a:gs>
            <a:gs pos="49000">
              <a:schemeClr val="tx2">
                <a:lumMod val="60000"/>
                <a:lumOff val="40000"/>
              </a:schemeClr>
            </a:gs>
            <a:gs pos="0">
              <a:schemeClr val="tx1">
                <a:lumMod val="75000"/>
                <a:lumOff val="25000"/>
              </a:schemeClr>
            </a:gs>
          </a:gsLst>
          <a:lin ang="5400000" scaled="0"/>
        </a:gradFill>
        <a:scene3d>
          <a:camera prst="orthographicFront"/>
          <a:lightRig rig="threePt" dir="t">
            <a:rot lat="0" lon="0" rev="600000"/>
          </a:lightRig>
        </a:scene3d>
        <a:sp3d>
          <a:bevelT w="82550" h="50800"/>
          <a:bevelB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Utwórz arkusz nowego</a:t>
          </a:r>
          <a:r>
            <a:rPr lang="pl-PL" sz="1100" b="1" baseline="0"/>
            <a:t> miesiąca</a:t>
          </a:r>
          <a:endParaRPr lang="en-US" sz="1100" b="1"/>
        </a:p>
      </xdr:txBody>
    </xdr:sp>
    <xdr:clientData/>
  </xdr:twoCellAnchor>
  <xdr:twoCellAnchor>
    <xdr:from>
      <xdr:col>25</xdr:col>
      <xdr:colOff>457201</xdr:colOff>
      <xdr:row>20</xdr:row>
      <xdr:rowOff>61912</xdr:rowOff>
    </xdr:from>
    <xdr:to>
      <xdr:col>31</xdr:col>
      <xdr:colOff>342900</xdr:colOff>
      <xdr:row>34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447676</xdr:colOff>
      <xdr:row>4</xdr:row>
      <xdr:rowOff>100012</xdr:rowOff>
    </xdr:from>
    <xdr:to>
      <xdr:col>31</xdr:col>
      <xdr:colOff>352425</xdr:colOff>
      <xdr:row>18</xdr:row>
      <xdr:rowOff>161925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161926</xdr:colOff>
      <xdr:row>4</xdr:row>
      <xdr:rowOff>85726</xdr:rowOff>
    </xdr:from>
    <xdr:to>
      <xdr:col>25</xdr:col>
      <xdr:colOff>171450</xdr:colOff>
      <xdr:row>18</xdr:row>
      <xdr:rowOff>161926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180976</xdr:colOff>
      <xdr:row>20</xdr:row>
      <xdr:rowOff>38100</xdr:rowOff>
    </xdr:from>
    <xdr:to>
      <xdr:col>25</xdr:col>
      <xdr:colOff>161925</xdr:colOff>
      <xdr:row>34</xdr:row>
      <xdr:rowOff>114300</xdr:rowOff>
    </xdr:to>
    <xdr:graphicFrame macro="">
      <xdr:nvGraphicFramePr>
        <xdr:cNvPr id="8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Kuba" refreshedDate="43802.301134490743" createdVersion="3" refreshedVersion="4" minRefreshableVersion="3" recordCount="3">
  <cacheSource type="worksheet">
    <worksheetSource ref="A6:E9" sheet="12.19"/>
  </cacheSource>
  <cacheFields count="5">
    <cacheField name="Data" numFmtId="168">
      <sharedItems containsSemiMixedTypes="0" containsNonDate="0" containsDate="1" containsString="0" minDate="2019-12-01T00:00:00" maxDate="2019-12-03T00:00:00" count="2">
        <d v="2019-12-01T00:00:00"/>
        <d v="2019-12-02T00:00:00"/>
      </sharedItems>
    </cacheField>
    <cacheField name="Nazwa" numFmtId="0">
      <sharedItems/>
    </cacheField>
    <cacheField name="Kategoria" numFmtId="0">
      <sharedItems count="2">
        <s v="Żywność"/>
        <s v="Zabawa"/>
      </sharedItems>
    </cacheField>
    <cacheField name="Kwota" numFmtId="4">
      <sharedItems containsSemiMixedTypes="0" containsString="0" containsNumber="1" minValue="6.79" maxValue="35.5"/>
    </cacheField>
    <cacheField name="Typ" numFmtId="165">
      <sharedItems count="1">
        <s v="Wydate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Kuba" refreshedDate="43802.301134837966" createdVersion="3" refreshedVersion="4" minRefreshableVersion="3" recordCount="3">
  <cacheSource type="worksheet">
    <worksheetSource ref="A6:E9" sheet="12.19"/>
  </cacheSource>
  <cacheFields count="5">
    <cacheField name="Data" numFmtId="168">
      <sharedItems containsSemiMixedTypes="0" containsNonDate="0" containsDate="1" containsString="0" minDate="2019-12-01T00:00:00" maxDate="2019-12-03T00:00:00"/>
    </cacheField>
    <cacheField name="Nazwa" numFmtId="0">
      <sharedItems/>
    </cacheField>
    <cacheField name="Kategoria" numFmtId="0">
      <sharedItems count="2">
        <s v="Żywność"/>
        <s v="Zabawa"/>
      </sharedItems>
    </cacheField>
    <cacheField name="Kwota" numFmtId="4">
      <sharedItems containsSemiMixedTypes="0" containsString="0" containsNumber="1" minValue="6.79" maxValue="35.5"/>
    </cacheField>
    <cacheField name="Typ" numFmtId="16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Kuba" refreshedDate="43802.301135069443" createdVersion="3" refreshedVersion="4" minRefreshableVersion="3" recordCount="3">
  <cacheSource type="worksheet">
    <worksheetSource ref="A6:E9" sheet="12.19"/>
  </cacheSource>
  <cacheFields count="5">
    <cacheField name="Data" numFmtId="168">
      <sharedItems containsSemiMixedTypes="0" containsNonDate="0" containsDate="1" containsString="0" minDate="2019-12-01T00:00:00" maxDate="2019-12-03T00:00:00"/>
    </cacheField>
    <cacheField name="Nazwa" numFmtId="0">
      <sharedItems/>
    </cacheField>
    <cacheField name="Kategoria" numFmtId="0">
      <sharedItems/>
    </cacheField>
    <cacheField name="Kwota" numFmtId="4">
      <sharedItems containsSemiMixedTypes="0" containsString="0" containsNumber="1" minValue="6.79" maxValue="35.5"/>
    </cacheField>
    <cacheField name="Typ" numFmtId="165">
      <sharedItems count="1">
        <s v="Wydate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Kuba" refreshedDate="43802.301135300928" createdVersion="3" refreshedVersion="4" minRefreshableVersion="3" recordCount="3">
  <cacheSource type="worksheet">
    <worksheetSource ref="A6:E9" sheet="12.19"/>
  </cacheSource>
  <cacheFields count="5">
    <cacheField name="Data" numFmtId="168">
      <sharedItems containsSemiMixedTypes="0" containsNonDate="0" containsDate="1" containsString="0" minDate="2019-12-01T00:00:00" maxDate="2019-12-03T00:00:00"/>
    </cacheField>
    <cacheField name="Nazwa" numFmtId="0">
      <sharedItems/>
    </cacheField>
    <cacheField name="Kategoria" numFmtId="0">
      <sharedItems count="2">
        <s v="Żywność"/>
        <s v="Zabawa"/>
      </sharedItems>
    </cacheField>
    <cacheField name="Kwota" numFmtId="4">
      <sharedItems containsSemiMixedTypes="0" containsString="0" containsNumber="1" minValue="6.79" maxValue="35.5"/>
    </cacheField>
    <cacheField name="Typ" numFmtId="165">
      <sharedItems count="1">
        <s v="Wydate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Kuba" refreshedDate="43802.301135416667" createdVersion="3" refreshedVersion="4" minRefreshableVersion="3" recordCount="3">
  <cacheSource type="worksheet">
    <worksheetSource ref="A6:E9" sheet="12.19"/>
  </cacheSource>
  <cacheFields count="5">
    <cacheField name="Data" numFmtId="168">
      <sharedItems containsSemiMixedTypes="0" containsNonDate="0" containsDate="1" containsString="0" minDate="2019-12-01T00:00:00" maxDate="2019-12-03T00:00:00"/>
    </cacheField>
    <cacheField name="Nazwa" numFmtId="0">
      <sharedItems/>
    </cacheField>
    <cacheField name="Kategoria" numFmtId="0">
      <sharedItems count="2">
        <s v="Żywność"/>
        <s v="Zabawa"/>
      </sharedItems>
    </cacheField>
    <cacheField name="Kwota" numFmtId="4">
      <sharedItems containsSemiMixedTypes="0" containsString="0" containsNumber="1" minValue="6.79" maxValue="35.5"/>
    </cacheField>
    <cacheField name="Typ" numFmtId="165">
      <sharedItems count="1">
        <s v="Wydate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636" applyNumberFormats="0" applyBorderFormats="0" applyFontFormats="0" applyPatternFormats="0" applyAlignmentFormats="0" applyWidthHeightFormats="1" dataCaption="Values" grandTotalCaption="Razem" updatedVersion="4" minRefreshableVersion="3" useAutoFormatting="1" colGrandTotals="0" itemPrintTitles="1" createdVersion="4" indent="0" outline="1" outlineData="1" multipleFieldFilters="0" chartFormat="118" rowHeaderCaption="Kategoria" colHeaderCaption="Wydatki">
  <location ref="N39:O43" firstHeaderRow="1" firstDataRow="2" firstDataCol="1"/>
  <pivotFields count="5">
    <pivotField numFmtId="165" showAll="0"/>
    <pivotField showAll="0"/>
    <pivotField axis="axisRow" showAll="0">
      <items count="3">
        <item x="0"/>
        <item x="1"/>
        <item t="default"/>
      </items>
    </pivotField>
    <pivotField dataField="1" showAll="0"/>
    <pivotField axis="axisCol" showAll="0">
      <items count="2">
        <item x="0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1">
    <field x="4"/>
  </colFields>
  <colItems count="1">
    <i>
      <x/>
    </i>
  </colItems>
  <dataFields count="1">
    <dataField name="Wydatki" fld="3" baseField="0" baseItem="0"/>
  </dataFields>
  <formats count="5">
    <format dxfId="252">
      <pivotArea dataOnly="0" grandRow="1" axis="axisRow" fieldPosition="0"/>
    </format>
    <format dxfId="251">
      <pivotArea field="4" type="button" dataOnly="0" labelOnly="1" outline="0" axis="axisCol" fieldPosition="0"/>
    </format>
    <format dxfId="250">
      <pivotArea field="2" type="button" dataOnly="0" labelOnly="1" outline="0" axis="axisRow" fieldPosition="0"/>
    </format>
    <format dxfId="249">
      <pivotArea dataOnly="0" labelOnly="1" fieldPosition="0">
        <references count="1">
          <reference field="4" count="0"/>
        </references>
      </pivotArea>
    </format>
    <format dxfId="248">
      <pivotArea grandRow="1" outline="0" collapsedLevelsAreSubtotals="1" fieldPosition="0"/>
    </format>
  </formats>
  <chartFormats count="65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4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" format="5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5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" format="5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5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" format="6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7" format="6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" format="6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1" format="6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7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5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7" format="7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9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1" format="7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3" format="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5" format="8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" format="8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9" format="8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1" format="8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3" format="9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5" format="9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7" format="9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9" format="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1" format="9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3" format="10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5" format="10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7" format="10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9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" format="10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3" format="1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5" format="1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7" format="1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MojStyle2 13 2 4 2 2 2 2 2 2 3 2 2 2 3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3" cacheId="629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 chartFormat="119" rowHeaderCaption="Typ">
  <location ref="K39:L40" firstHeaderRow="1" firstDataRow="1" firstDataCol="1"/>
  <pivotFields count="5">
    <pivotField numFmtId="165" showAll="0"/>
    <pivotField showAll="0"/>
    <pivotField showAll="0"/>
    <pivotField dataField="1" showAll="0"/>
    <pivotField axis="axisRow" showAll="0">
      <items count="2">
        <item x="0"/>
        <item t="default"/>
      </items>
    </pivotField>
  </pivotFields>
  <rowFields count="1">
    <field x="4"/>
  </rowFields>
  <rowItems count="1">
    <i>
      <x/>
    </i>
  </rowItems>
  <colItems count="1">
    <i/>
  </colItems>
  <dataFields count="1">
    <dataField name="Finanse" fld="3" baseField="0" baseItem="0" numFmtId="2"/>
  </dataFields>
  <formats count="1">
    <format dxfId="253">
      <pivotArea outline="0" collapsedLevelsAreSubtotals="1" fieldPosition="0"/>
    </format>
  </formats>
  <chartFormats count="6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4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" format="5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6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8" format="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0" format="6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" format="6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8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0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2" format="7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4" format="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6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8" format="8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0" format="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2" format="8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4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6" format="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8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" format="9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" format="9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6" format="10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8" format="10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0" format="10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2" format="10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4" format="1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6" format="1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8" format="1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MojStyle2 13 2 4 2 2 2 2 2 2 3 2 2 2 3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2" cacheId="624" applyNumberFormats="0" applyBorderFormats="0" applyFontFormats="0" applyPatternFormats="0" applyAlignmentFormats="0" applyWidthHeightFormats="1" dataCaption="Values" grandTotalCaption="Razem" updatedVersion="4" minRefreshableVersion="3" useAutoFormatting="1" itemPrintTitles="1" createdVersion="4" indent="0" outline="1" outlineData="1" multipleFieldFilters="0" chartFormat="123" rowHeaderCaption="Kategoria">
  <location ref="H39:I42" firstHeaderRow="1" firstDataRow="1" firstDataCol="1"/>
  <pivotFields count="5">
    <pivotField numFmtId="165" showAll="0"/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a" fld="3" baseField="0" baseItem="0"/>
  </dataFields>
  <formats count="4">
    <format dxfId="257">
      <pivotArea grandRow="1" outline="0" collapsedLevelsAreSubtotals="1" fieldPosition="0"/>
    </format>
    <format dxfId="256">
      <pivotArea dataOnly="0" labelOnly="1" grandRow="1" outline="0" fieldPosition="0"/>
    </format>
    <format dxfId="255">
      <pivotArea collapsedLevelsAreSubtotals="1" fieldPosition="0">
        <references count="1">
          <reference field="2" count="0"/>
        </references>
      </pivotArea>
    </format>
    <format dxfId="254">
      <pivotArea grandRow="1" outline="0" collapsedLevelsAreSubtotals="1" fieldPosition="0"/>
    </format>
  </formats>
  <chartFormats count="67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4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6" format="5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5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5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5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" format="6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6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8" format="6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0" format="6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" format="6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" format="7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8" format="7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0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2" format="7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4" format="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6" format="8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8" format="8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0" format="8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2" format="8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4" format="9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6" format="9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8" format="9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" format="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" format="9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" format="10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6" format="10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8" format="10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0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2" format="10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4" format="1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6" format="1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8" format="1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0" format="1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2" format="1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MojStyle2 13 2 4 2 2 2 2 2 2 3 2 2 2 3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643" applyNumberFormats="0" applyBorderFormats="0" applyFontFormats="0" applyPatternFormats="0" applyAlignmentFormats="0" applyWidthHeightFormats="1" dataCaption="Values" grandTotalCaption="Suma" updatedVersion="4" minRefreshableVersion="3" useAutoFormatting="1" itemPrintTitles="1" createdVersion="4" indent="0" outline="1" outlineData="1" multipleFieldFilters="0" chartFormat="117" rowHeaderCaption="Typ" colHeaderCaption="Kategoria">
  <location ref="Q39:T42" firstHeaderRow="1" firstDataRow="2" firstDataCol="1"/>
  <pivotFields count="5">
    <pivotField numFmtId="165" showAll="0"/>
    <pivotField showAll="0"/>
    <pivotField axis="axisCol" showAll="0">
      <items count="3">
        <item x="0"/>
        <item x="1"/>
        <item t="default"/>
      </items>
    </pivotField>
    <pivotField dataField="1" showAll="0"/>
    <pivotField axis="axisRow" showAll="0">
      <items count="2">
        <item x="0"/>
        <item t="default"/>
      </items>
    </pivotField>
  </pivotFields>
  <rowFields count="1">
    <field x="4"/>
  </rowFields>
  <rowItems count="2">
    <i>
      <x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truktura" fld="3" baseField="0" baseItem="0" numFmtId="2"/>
  </dataFields>
  <formats count="9">
    <format dxfId="266">
      <pivotArea grandRow="1" outline="0" collapsedLevelsAreSubtotals="1" fieldPosition="0"/>
    </format>
    <format dxfId="265">
      <pivotArea dataOnly="0" labelOnly="1" grandRow="1" outline="0" fieldPosition="0"/>
    </format>
    <format dxfId="264">
      <pivotArea type="origin" dataOnly="0" labelOnly="1" outline="0" fieldPosition="0"/>
    </format>
    <format dxfId="263">
      <pivotArea field="4" type="button" dataOnly="0" labelOnly="1" outline="0" axis="axisRow" fieldPosition="0"/>
    </format>
    <format dxfId="262">
      <pivotArea field="2" type="button" dataOnly="0" labelOnly="1" outline="0" axis="axisCol" fieldPosition="0"/>
    </format>
    <format dxfId="261">
      <pivotArea type="topRight" dataOnly="0" labelOnly="1" outline="0" fieldPosition="0"/>
    </format>
    <format dxfId="260">
      <pivotArea dataOnly="0" labelOnly="1" fieldPosition="0">
        <references count="1">
          <reference field="2" count="0"/>
        </references>
      </pivotArea>
    </format>
    <format dxfId="259">
      <pivotArea dataOnly="0" labelOnly="1" grandCol="1" outline="0" fieldPosition="0"/>
    </format>
    <format dxfId="258">
      <pivotArea outline="0" collapsedLevelsAreSubtotals="1" fieldPosition="0"/>
    </format>
  </formats>
  <chartFormats count="3">
    <chartFormat chart="114" format="9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16" format="9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16" format="9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MojStyle2 13 2 4 2 2 2 2 2 2 3 2 2 2 3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619" applyNumberFormats="0" applyBorderFormats="0" applyFontFormats="0" applyPatternFormats="0" applyAlignmentFormats="0" applyWidthHeightFormats="1" dataCaption="Values" grandTotalCaption="Suma" updatedVersion="4" minRefreshableVersion="3" useAutoFormatting="1" colGrandTotals="0" itemPrintTitles="1" createdVersion="4" indent="0" outline="1" outlineData="1" multipleFieldFilters="0" rowHeaderCaption="Data" colHeaderCaption="Kolumny">
  <location ref="H4:K9" firstHeaderRow="1" firstDataRow="3" firstDataCol="1"/>
  <pivotFields count="5">
    <pivotField axis="axisRow" numFmtId="165" showAll="0" sortType="ascending">
      <items count="3">
        <item x="0"/>
        <item x="1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dataField="1" showAll="0"/>
    <pivotField axis="axisCol" subtotalCaption="Suma" showAll="0">
      <items count="2">
        <item x="0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2">
    <field x="4"/>
    <field x="2"/>
  </colFields>
  <colItems count="3">
    <i>
      <x/>
      <x/>
    </i>
    <i r="1">
      <x v="1"/>
    </i>
    <i t="default">
      <x/>
    </i>
  </colItems>
  <dataFields count="1">
    <dataField name="Statystyki" fld="3" baseField="0" baseItem="1308088" numFmtId="2"/>
  </dataFields>
  <formats count="39">
    <format dxfId="305">
      <pivotArea grandRow="1" outline="0" collapsedLevelsAreSubtotals="1" fieldPosition="0"/>
    </format>
    <format dxfId="304">
      <pivotArea dataOnly="0" labelOnly="1" grandRow="1" outline="0" fieldPosition="0"/>
    </format>
    <format dxfId="303">
      <pivotArea grandRow="1" outline="0" collapsedLevelsAreSubtotals="1" fieldPosition="0"/>
    </format>
    <format dxfId="302">
      <pivotArea dataOnly="0" labelOnly="1" grandRow="1" outline="0" fieldPosition="0"/>
    </format>
    <format dxfId="301">
      <pivotArea field="0" type="button" dataOnly="0" labelOnly="1" outline="0" axis="axisRow" fieldPosition="0"/>
    </format>
    <format dxfId="300">
      <pivotArea dataOnly="0" labelOnly="1" fieldPosition="0">
        <references count="1">
          <reference field="4" count="0"/>
        </references>
      </pivotArea>
    </format>
    <format dxfId="299">
      <pivotArea dataOnly="0" labelOnly="1" fieldPosition="0">
        <references count="1">
          <reference field="4" count="0" defaultSubtotal="1"/>
        </references>
      </pivotArea>
    </format>
    <format dxfId="298">
      <pivotArea dataOnly="0" labelOnly="1" grandCol="1" outline="0" fieldPosition="0"/>
    </format>
    <format dxfId="297">
      <pivotArea field="0" type="button" dataOnly="0" labelOnly="1" outline="0" axis="axisRow" fieldPosition="0"/>
    </format>
    <format dxfId="296">
      <pivotArea dataOnly="0" labelOnly="1" fieldPosition="0">
        <references count="1">
          <reference field="4" count="0"/>
        </references>
      </pivotArea>
    </format>
    <format dxfId="295">
      <pivotArea dataOnly="0" labelOnly="1" fieldPosition="0">
        <references count="1">
          <reference field="4" count="0" defaultSubtotal="1"/>
        </references>
      </pivotArea>
    </format>
    <format dxfId="294">
      <pivotArea dataOnly="0" labelOnly="1" grandCol="1" outline="0" fieldPosition="0"/>
    </format>
    <format dxfId="293">
      <pivotArea field="0" type="button" dataOnly="0" labelOnly="1" outline="0" axis="axisRow" fieldPosition="0"/>
    </format>
    <format dxfId="292">
      <pivotArea dataOnly="0" labelOnly="1" fieldPosition="0">
        <references count="1">
          <reference field="4" count="0"/>
        </references>
      </pivotArea>
    </format>
    <format dxfId="291">
      <pivotArea dataOnly="0" labelOnly="1" fieldPosition="0">
        <references count="1">
          <reference field="4" count="0" defaultSubtotal="1"/>
        </references>
      </pivotArea>
    </format>
    <format dxfId="290">
      <pivotArea dataOnly="0" labelOnly="1" grandCol="1" outline="0" fieldPosition="0"/>
    </format>
    <format dxfId="289">
      <pivotArea field="0" type="button" dataOnly="0" labelOnly="1" outline="0" axis="axisRow" fieldPosition="0"/>
    </format>
    <format dxfId="288">
      <pivotArea dataOnly="0" labelOnly="1" fieldPosition="0">
        <references count="1">
          <reference field="4" count="0"/>
        </references>
      </pivotArea>
    </format>
    <format dxfId="287">
      <pivotArea dataOnly="0" labelOnly="1" fieldPosition="0">
        <references count="1">
          <reference field="4" count="0" defaultSubtotal="1"/>
        </references>
      </pivotArea>
    </format>
    <format dxfId="286">
      <pivotArea dataOnly="0" labelOnly="1" grandCol="1" outline="0" fieldPosition="0"/>
    </format>
    <format dxfId="285">
      <pivotArea field="0" type="button" dataOnly="0" labelOnly="1" outline="0" axis="axisRow" fieldPosition="0"/>
    </format>
    <format dxfId="284">
      <pivotArea dataOnly="0" labelOnly="1" fieldPosition="0">
        <references count="1">
          <reference field="4" count="0"/>
        </references>
      </pivotArea>
    </format>
    <format dxfId="283">
      <pivotArea dataOnly="0" labelOnly="1" fieldPosition="0">
        <references count="1">
          <reference field="4" count="0" defaultSubtotal="1"/>
        </references>
      </pivotArea>
    </format>
    <format dxfId="282">
      <pivotArea dataOnly="0" labelOnly="1" grandCol="1" outline="0" fieldPosition="0"/>
    </format>
    <format dxfId="281">
      <pivotArea grandRow="1" outline="0" collapsedLevelsAreSubtotals="1" fieldPosition="0"/>
    </format>
    <format dxfId="280">
      <pivotArea dataOnly="0" labelOnly="1" grandRow="1" outline="0" fieldPosition="0"/>
    </format>
    <format dxfId="279">
      <pivotArea collapsedLevelsAreSubtotals="1" fieldPosition="0">
        <references count="1">
          <reference field="0" count="0"/>
        </references>
      </pivotArea>
    </format>
    <format dxfId="278">
      <pivotArea dataOnly="0" labelOnly="1" fieldPosition="0">
        <references count="1">
          <reference field="0" count="0"/>
        </references>
      </pivotArea>
    </format>
    <format dxfId="277">
      <pivotArea type="origin" dataOnly="0" labelOnly="1" outline="0" offset="A1" fieldPosition="0"/>
    </format>
    <format dxfId="276">
      <pivotArea field="4" type="button" dataOnly="0" labelOnly="1" outline="0" axis="axisCol" fieldPosition="0"/>
    </format>
    <format dxfId="275">
      <pivotArea field="2" type="button" dataOnly="0" labelOnly="1" outline="0" axis="axisCol" fieldPosition="1"/>
    </format>
    <format dxfId="274">
      <pivotArea type="topRight" dataOnly="0" labelOnly="1" outline="0" fieldPosition="0"/>
    </format>
    <format dxfId="273">
      <pivotArea type="origin" dataOnly="0" labelOnly="1" outline="0" offset="A2" fieldPosition="0"/>
    </format>
    <format dxfId="272">
      <pivotArea dataOnly="0" labelOnly="1" grandCol="1" outline="0" offset="IV256" fieldPosition="0"/>
    </format>
    <format dxfId="271">
      <pivotArea dataOnly="0" labelOnly="1" offset="IV256" fieldPosition="0">
        <references count="1">
          <reference field="4" count="0" defaultSubtotal="1"/>
        </references>
      </pivotArea>
    </format>
    <format dxfId="270">
      <pivotArea dataOnly="0" labelOnly="1" fieldPosition="0">
        <references count="2">
          <reference field="2" count="0"/>
          <reference field="4" count="0" selected="0"/>
        </references>
      </pivotArea>
    </format>
    <format dxfId="269">
      <pivotArea dataOnly="0" labelOnly="1" fieldPosition="0">
        <references count="1">
          <reference field="0" count="0"/>
        </references>
      </pivotArea>
    </format>
    <format dxfId="268">
      <pivotArea collapsedLevelsAreSubtotals="1" fieldPosition="0">
        <references count="1">
          <reference field="0" count="0"/>
        </references>
      </pivotArea>
    </format>
    <format dxfId="267">
      <pivotArea outline="0" fieldPosition="0">
        <references count="1">
          <reference field="4294967294" count="1">
            <x v="0"/>
          </reference>
        </references>
      </pivotArea>
    </format>
  </formats>
  <pivotTableStyleInfo name="MojStyle2 13 2 4 2 2 2 2 2 2 3 2 2 2 3" showRowHeaders="1" showColHeaders="1" showRowStripes="1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4"/>
  <sheetViews>
    <sheetView workbookViewId="0">
      <selection activeCell="D16" sqref="D16"/>
    </sheetView>
  </sheetViews>
  <sheetFormatPr defaultRowHeight="15" x14ac:dyDescent="0.25"/>
  <cols>
    <col min="2" max="2" width="16.7109375" customWidth="1"/>
    <col min="3" max="3" width="18.42578125" bestFit="1" customWidth="1"/>
    <col min="4" max="4" width="16.85546875" customWidth="1"/>
    <col min="5" max="5" width="2.5703125" hidden="1" customWidth="1"/>
    <col min="6" max="6" width="2.85546875" hidden="1" customWidth="1"/>
    <col min="7" max="7" width="8.7109375" customWidth="1"/>
    <col min="8" max="8" width="22.85546875" customWidth="1"/>
    <col min="9" max="9" width="13.28515625" bestFit="1" customWidth="1"/>
    <col min="10" max="10" width="9.5703125" bestFit="1" customWidth="1"/>
    <col min="11" max="11" width="9.85546875" customWidth="1"/>
  </cols>
  <sheetData>
    <row r="1" spans="1:13" ht="26.25" x14ac:dyDescent="0.25">
      <c r="A1" s="54" t="s">
        <v>21</v>
      </c>
      <c r="B1" s="55"/>
      <c r="C1" s="55"/>
      <c r="D1" s="56"/>
      <c r="I1" s="57" t="s">
        <v>22</v>
      </c>
      <c r="J1" s="57"/>
      <c r="K1" s="57"/>
      <c r="L1" s="57"/>
      <c r="M1" s="57"/>
    </row>
    <row r="2" spans="1:13" x14ac:dyDescent="0.25">
      <c r="A2" s="13" t="s">
        <v>6</v>
      </c>
      <c r="B2" s="14" t="s">
        <v>0</v>
      </c>
      <c r="C2" s="14" t="s">
        <v>9</v>
      </c>
      <c r="D2" s="15" t="s">
        <v>1</v>
      </c>
      <c r="H2" s="14" t="s">
        <v>19</v>
      </c>
      <c r="I2" s="29">
        <v>41212</v>
      </c>
      <c r="J2" s="8" t="s">
        <v>23</v>
      </c>
      <c r="K2" s="9" t="s">
        <v>18</v>
      </c>
      <c r="L2" s="22">
        <v>2.34</v>
      </c>
      <c r="M2" s="7" t="s">
        <v>8</v>
      </c>
    </row>
    <row r="3" spans="1:13" x14ac:dyDescent="0.25">
      <c r="A3" s="16">
        <v>1</v>
      </c>
      <c r="B3" s="18" t="s">
        <v>25</v>
      </c>
      <c r="C3" s="18"/>
      <c r="D3" s="19" t="s">
        <v>8</v>
      </c>
      <c r="H3" s="14" t="s">
        <v>20</v>
      </c>
      <c r="I3" s="30">
        <v>41212</v>
      </c>
      <c r="J3" s="11" t="s">
        <v>11</v>
      </c>
      <c r="K3" s="12" t="s">
        <v>10</v>
      </c>
      <c r="L3" s="23">
        <v>4.5599999999999996</v>
      </c>
      <c r="M3" s="10" t="s">
        <v>7</v>
      </c>
    </row>
    <row r="4" spans="1:13" x14ac:dyDescent="0.25">
      <c r="A4" s="16">
        <v>2</v>
      </c>
      <c r="B4" s="18" t="s">
        <v>18</v>
      </c>
      <c r="C4" s="18"/>
      <c r="D4" s="19" t="s">
        <v>8</v>
      </c>
    </row>
    <row r="5" spans="1:13" x14ac:dyDescent="0.25">
      <c r="A5" s="16">
        <v>3</v>
      </c>
      <c r="B5" s="18" t="s">
        <v>26</v>
      </c>
      <c r="C5" s="18"/>
      <c r="D5" s="19" t="s">
        <v>8</v>
      </c>
    </row>
    <row r="6" spans="1:13" x14ac:dyDescent="0.25">
      <c r="A6" s="16">
        <v>4</v>
      </c>
      <c r="B6" s="18" t="s">
        <v>31</v>
      </c>
      <c r="C6" s="18"/>
      <c r="D6" s="19" t="s">
        <v>8</v>
      </c>
    </row>
    <row r="7" spans="1:13" x14ac:dyDescent="0.25">
      <c r="A7" s="16">
        <v>5</v>
      </c>
      <c r="B7" s="18" t="s">
        <v>29</v>
      </c>
      <c r="C7" s="18"/>
      <c r="D7" s="19" t="s">
        <v>8</v>
      </c>
    </row>
    <row r="8" spans="1:13" x14ac:dyDescent="0.25">
      <c r="A8" s="16">
        <v>6</v>
      </c>
      <c r="B8" s="18" t="s">
        <v>27</v>
      </c>
      <c r="C8" s="18"/>
      <c r="D8" s="19" t="s">
        <v>8</v>
      </c>
    </row>
    <row r="9" spans="1:13" x14ac:dyDescent="0.25">
      <c r="A9" s="16">
        <v>7</v>
      </c>
      <c r="B9" s="18" t="s">
        <v>28</v>
      </c>
      <c r="C9" s="18"/>
      <c r="D9" s="19" t="s">
        <v>8</v>
      </c>
    </row>
    <row r="10" spans="1:13" x14ac:dyDescent="0.25">
      <c r="A10" s="16">
        <v>8</v>
      </c>
      <c r="B10" s="18" t="s">
        <v>33</v>
      </c>
      <c r="C10" s="18"/>
      <c r="D10" s="19" t="s">
        <v>8</v>
      </c>
    </row>
    <row r="11" spans="1:13" x14ac:dyDescent="0.25">
      <c r="A11" s="16">
        <v>9</v>
      </c>
      <c r="B11" s="18" t="s">
        <v>37</v>
      </c>
      <c r="C11" s="18"/>
      <c r="D11" s="19" t="s">
        <v>8</v>
      </c>
    </row>
    <row r="12" spans="1:13" x14ac:dyDescent="0.25">
      <c r="A12" s="16">
        <v>10</v>
      </c>
      <c r="B12" s="18" t="s">
        <v>10</v>
      </c>
      <c r="C12" s="18"/>
      <c r="D12" s="19" t="s">
        <v>7</v>
      </c>
    </row>
    <row r="13" spans="1:13" x14ac:dyDescent="0.25">
      <c r="A13" s="16">
        <v>11</v>
      </c>
      <c r="B13" s="18" t="s">
        <v>30</v>
      </c>
      <c r="C13" s="18"/>
      <c r="D13" s="19" t="s">
        <v>7</v>
      </c>
    </row>
    <row r="14" spans="1:13" ht="15.75" thickBot="1" x14ac:dyDescent="0.3">
      <c r="A14" s="17">
        <v>12</v>
      </c>
      <c r="B14" s="20" t="s">
        <v>32</v>
      </c>
      <c r="C14" s="20"/>
      <c r="D14" s="21" t="s">
        <v>7</v>
      </c>
    </row>
  </sheetData>
  <mergeCells count="2">
    <mergeCell ref="A1:D1"/>
    <mergeCell ref="I1:M1"/>
  </mergeCells>
  <conditionalFormatting sqref="C17:C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D2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D3:D14">
      <formula1>"Przychód, Wydatek"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H21"/>
  <sheetViews>
    <sheetView workbookViewId="0">
      <selection activeCell="C20" sqref="C20"/>
    </sheetView>
  </sheetViews>
  <sheetFormatPr defaultRowHeight="15" x14ac:dyDescent="0.25"/>
  <cols>
    <col min="1" max="1" width="17.140625" customWidth="1"/>
    <col min="2" max="2" width="19.28515625" customWidth="1"/>
    <col min="3" max="3" width="17.28515625" customWidth="1"/>
    <col min="4" max="4" width="16.7109375" customWidth="1"/>
    <col min="5" max="5" width="14.28515625" customWidth="1"/>
    <col min="6" max="6" width="14.42578125" customWidth="1"/>
    <col min="7" max="8" width="14.42578125" bestFit="1" customWidth="1"/>
  </cols>
  <sheetData>
    <row r="1" spans="1:8" ht="26.25" x14ac:dyDescent="0.25">
      <c r="B1" s="39" t="s">
        <v>38</v>
      </c>
      <c r="C1" s="57" t="s">
        <v>39</v>
      </c>
      <c r="D1" s="57"/>
      <c r="E1" s="57"/>
      <c r="F1" s="57"/>
      <c r="G1" s="57"/>
      <c r="H1" s="60"/>
    </row>
    <row r="2" spans="1:8" s="37" customFormat="1" ht="43.5" customHeight="1" x14ac:dyDescent="0.25">
      <c r="B2" s="40" t="s">
        <v>38</v>
      </c>
      <c r="C2" s="40" t="s">
        <v>34</v>
      </c>
      <c r="D2" s="40" t="s">
        <v>35</v>
      </c>
      <c r="E2" s="40" t="s">
        <v>36</v>
      </c>
      <c r="F2" s="40" t="s">
        <v>37</v>
      </c>
      <c r="G2" s="40" t="s">
        <v>28</v>
      </c>
      <c r="H2" s="38" t="s">
        <v>33</v>
      </c>
    </row>
    <row r="3" spans="1:8" ht="21" x14ac:dyDescent="0.25">
      <c r="B3" s="41">
        <f>SUM(C3:H3)</f>
        <v>1</v>
      </c>
      <c r="C3" s="47">
        <v>0.55000000000000004</v>
      </c>
      <c r="D3" s="47">
        <v>0.1</v>
      </c>
      <c r="E3" s="47">
        <v>0.1</v>
      </c>
      <c r="F3" s="47">
        <v>0.1</v>
      </c>
      <c r="G3" s="47">
        <v>0.1</v>
      </c>
      <c r="H3" s="48">
        <v>0.05</v>
      </c>
    </row>
    <row r="4" spans="1:8" ht="21" x14ac:dyDescent="0.25">
      <c r="A4" s="49" t="s">
        <v>45</v>
      </c>
      <c r="B4" s="41"/>
      <c r="C4" s="50">
        <f>C21</f>
        <v>-55.42</v>
      </c>
      <c r="D4" s="50">
        <f t="shared" ref="D4:H4" si="0">D21</f>
        <v>0</v>
      </c>
      <c r="E4" s="50">
        <f t="shared" si="0"/>
        <v>0</v>
      </c>
      <c r="F4" s="50">
        <f t="shared" si="0"/>
        <v>0</v>
      </c>
      <c r="G4" s="50">
        <f t="shared" si="0"/>
        <v>0</v>
      </c>
      <c r="H4" s="50">
        <f t="shared" si="0"/>
        <v>0</v>
      </c>
    </row>
    <row r="5" spans="1:8" ht="18.75" customHeight="1" x14ac:dyDescent="0.25">
      <c r="B5" s="42" t="s">
        <v>40</v>
      </c>
      <c r="C5" s="42" t="s">
        <v>40</v>
      </c>
      <c r="D5" s="42" t="s">
        <v>40</v>
      </c>
      <c r="E5" s="42" t="s">
        <v>40</v>
      </c>
      <c r="F5" s="42" t="s">
        <v>40</v>
      </c>
      <c r="G5" s="42" t="s">
        <v>40</v>
      </c>
      <c r="H5" s="42" t="s">
        <v>40</v>
      </c>
    </row>
    <row r="6" spans="1:8" x14ac:dyDescent="0.25">
      <c r="B6" s="43" t="s">
        <v>10</v>
      </c>
      <c r="C6" s="43" t="s">
        <v>25</v>
      </c>
      <c r="D6" s="43" t="s">
        <v>27</v>
      </c>
      <c r="E6" s="43" t="s">
        <v>29</v>
      </c>
      <c r="F6" s="43" t="s">
        <v>37</v>
      </c>
      <c r="G6" s="43" t="s">
        <v>28</v>
      </c>
      <c r="H6" s="43" t="s">
        <v>33</v>
      </c>
    </row>
    <row r="7" spans="1:8" x14ac:dyDescent="0.25">
      <c r="B7" s="43" t="s">
        <v>30</v>
      </c>
      <c r="C7" s="43" t="s">
        <v>18</v>
      </c>
      <c r="D7" s="43"/>
      <c r="E7" s="43"/>
      <c r="F7" s="43"/>
      <c r="G7" s="43"/>
      <c r="H7" s="43"/>
    </row>
    <row r="8" spans="1:8" x14ac:dyDescent="0.25">
      <c r="A8" s="37"/>
      <c r="B8" s="43" t="s">
        <v>32</v>
      </c>
      <c r="C8" s="43" t="s">
        <v>26</v>
      </c>
      <c r="D8" s="43"/>
      <c r="E8" s="43"/>
      <c r="F8" s="43"/>
      <c r="G8" s="43"/>
      <c r="H8" s="43"/>
    </row>
    <row r="9" spans="1:8" x14ac:dyDescent="0.25">
      <c r="B9" s="43"/>
      <c r="C9" s="43" t="s">
        <v>17</v>
      </c>
      <c r="D9" s="43"/>
      <c r="E9" s="43"/>
      <c r="F9" s="43"/>
      <c r="G9" s="43"/>
      <c r="H9" s="43"/>
    </row>
    <row r="10" spans="1:8" x14ac:dyDescent="0.25">
      <c r="B10" s="43"/>
      <c r="C10" s="43" t="s">
        <v>31</v>
      </c>
      <c r="D10" s="43"/>
      <c r="E10" s="43"/>
      <c r="F10" s="43"/>
      <c r="G10" s="43"/>
      <c r="H10" s="43"/>
    </row>
    <row r="11" spans="1:8" x14ac:dyDescent="0.25">
      <c r="B11" s="43"/>
      <c r="C11" s="43"/>
      <c r="D11" s="43"/>
      <c r="E11" s="43"/>
      <c r="F11" s="43"/>
      <c r="G11" s="43"/>
      <c r="H11" s="43"/>
    </row>
    <row r="12" spans="1:8" x14ac:dyDescent="0.25">
      <c r="B12" s="43"/>
      <c r="C12" s="43"/>
      <c r="D12" s="43"/>
      <c r="E12" s="43"/>
      <c r="F12" s="43"/>
      <c r="G12" s="43"/>
      <c r="H12" s="43"/>
    </row>
    <row r="13" spans="1:8" x14ac:dyDescent="0.25">
      <c r="B13" s="43"/>
      <c r="C13" s="43"/>
      <c r="D13" s="43"/>
      <c r="E13" s="43"/>
      <c r="F13" s="43"/>
      <c r="G13" s="43"/>
      <c r="H13" s="43"/>
    </row>
    <row r="14" spans="1:8" x14ac:dyDescent="0.25">
      <c r="B14" s="43"/>
      <c r="C14" s="43"/>
      <c r="D14" s="43"/>
      <c r="E14" s="43"/>
      <c r="F14" s="43"/>
      <c r="G14" s="43"/>
      <c r="H14" s="43"/>
    </row>
    <row r="15" spans="1:8" x14ac:dyDescent="0.25">
      <c r="B15" s="43"/>
      <c r="C15" s="43"/>
      <c r="D15" s="43"/>
      <c r="E15" s="43"/>
      <c r="F15" s="43"/>
      <c r="G15" s="43"/>
      <c r="H15" s="43"/>
    </row>
    <row r="17" spans="1:8" ht="37.5" x14ac:dyDescent="0.25">
      <c r="B17" s="40" t="s">
        <v>38</v>
      </c>
      <c r="C17" s="40" t="s">
        <v>34</v>
      </c>
      <c r="D17" s="40" t="s">
        <v>35</v>
      </c>
      <c r="E17" s="40" t="s">
        <v>36</v>
      </c>
      <c r="F17" s="40" t="s">
        <v>37</v>
      </c>
      <c r="G17" s="40" t="s">
        <v>28</v>
      </c>
      <c r="H17" s="38" t="s">
        <v>33</v>
      </c>
    </row>
    <row r="18" spans="1:8" ht="21" x14ac:dyDescent="0.25">
      <c r="A18" s="44" t="s">
        <v>41</v>
      </c>
      <c r="B18" s="58" t="s">
        <v>49</v>
      </c>
      <c r="C18" s="59"/>
      <c r="D18" s="59"/>
      <c r="E18" s="59"/>
      <c r="F18" s="59"/>
      <c r="G18" s="59"/>
      <c r="H18" s="59"/>
    </row>
    <row r="19" spans="1:8" x14ac:dyDescent="0.25">
      <c r="A19" s="45" t="s">
        <v>44</v>
      </c>
      <c r="B19" s="46">
        <f>IFERROR(GETPIVOTDATA("Kwota",'12.19'!$H$39,"Kategoria",B$6),0)+IFERROR(GETPIVOTDATA("Kwota",'12.19'!$H$39,"Kategoria",B$7),0)+IFERROR(GETPIVOTDATA("Kwota",'12.19'!$H$39,"Kategoria",B$8),0)+IFERROR(GETPIVOTDATA("Kwota",'12.19'!$H$39,"Kategoria",B$9),0)+IFERROR(GETPIVOTDATA("Kwota",'12.19'!$H$39,"Kategoria",B$10),0)+IFERROR(GETPIVOTDATA("Kwota",'12.19'!$H$39,"Kategoria",B$11),0)+IFERROR(GETPIVOTDATA("Kwota",'12.19'!$H$39,"Kategoria",B$12),0)+IFERROR(GETPIVOTDATA("Kwota",'12.19'!$H$39,"Kategoria",B$13),0)+IFERROR(GETPIVOTDATA("Kwota",'12.19'!$H$39,"Kategoria",B$14),0)</f>
        <v>0</v>
      </c>
      <c r="C19" s="46">
        <f t="shared" ref="C19:H19" si="1">$B19*C$3</f>
        <v>0</v>
      </c>
      <c r="D19" s="46">
        <f t="shared" si="1"/>
        <v>0</v>
      </c>
      <c r="E19" s="46">
        <f t="shared" si="1"/>
        <v>0</v>
      </c>
      <c r="F19" s="46">
        <f t="shared" si="1"/>
        <v>0</v>
      </c>
      <c r="G19" s="46">
        <f t="shared" si="1"/>
        <v>0</v>
      </c>
      <c r="H19" s="46">
        <f t="shared" si="1"/>
        <v>0</v>
      </c>
    </row>
    <row r="20" spans="1:8" x14ac:dyDescent="0.25">
      <c r="A20" s="45" t="s">
        <v>42</v>
      </c>
      <c r="B20" s="46">
        <f>IFERROR(GETPIVOTDATA("Kwota",'12.19'!$H$39,"Kategoria",B$6),0)+IFERROR(GETPIVOTDATA("Kwota",'12.19'!$H$39,"Kategoria",B$7),0)+IFERROR(GETPIVOTDATA("Kwota",'12.19'!$H$39,"Kategoria",B$8),0)+IFERROR(GETPIVOTDATA("Kwota",'12.19'!$H$39,"Kategoria",B$9),0)+IFERROR(GETPIVOTDATA("Kwota",'12.19'!$H$39,"Kategoria",B$10),0)+IFERROR(GETPIVOTDATA("Kwota",'12.19'!$H$39,"Kategoria",B$11),0)+IFERROR(GETPIVOTDATA("Kwota",'12.19'!$H$39,"Kategoria",B$12),0)+IFERROR(GETPIVOTDATA("Kwota",'12.19'!$H$39,"Kategoria",B$13),0)+IFERROR(GETPIVOTDATA("Kwota",'12.19'!$H$39,"Kategoria",B$14),0)</f>
        <v>0</v>
      </c>
      <c r="C20" s="46">
        <f>IFERROR(GETPIVOTDATA("Kwota",'12.19'!$H$39,"Kategoria",C$6),0)+IFERROR(GETPIVOTDATA("Kwota",'12.19'!$H$39,"Kategoria",C$7),0)+IFERROR(GETPIVOTDATA("Kwota",'12.19'!$H$39,"Kategoria",C$8),0)+IFERROR(GETPIVOTDATA("Kwota",'12.19'!$H$39,"Kategoria",C$9),0)+IFERROR(GETPIVOTDATA("Kwota",'12.19'!$H$39,"Kategoria",C$10),0)+IFERROR(GETPIVOTDATA("Kwota",'12.19'!$H$39,"Kategoria",C$11),0)+IFERROR(GETPIVOTDATA("Kwota",'12.19'!$H$39,"Kategoria",C$12),0)+IFERROR(GETPIVOTDATA("Kwota",'12.19'!$H$39,"Kategoria",C$13),0)+IFERROR(GETPIVOTDATA("Kwota",'12.19'!$H$39,"Kategoria",C$14),0)</f>
        <v>55.42</v>
      </c>
      <c r="D20" s="46">
        <f>IFERROR(GETPIVOTDATA("Kwota",'12.19'!$H$39,"Kategoria",D$6),0)+IFERROR(GETPIVOTDATA("Kwota",'12.19'!$H$39,"Kategoria",D$7),0)+IFERROR(GETPIVOTDATA("Kwota",'12.19'!$H$39,"Kategoria",D$8),0)+IFERROR(GETPIVOTDATA("Kwota",'12.19'!$H$39,"Kategoria",D$9),0)+IFERROR(GETPIVOTDATA("Kwota",'12.19'!$H$39,"Kategoria",D$10),0)+IFERROR(GETPIVOTDATA("Kwota",'12.19'!$H$39,"Kategoria",D$11),0)+IFERROR(GETPIVOTDATA("Kwota",'12.19'!$H$39,"Kategoria",D$12),0)+IFERROR(GETPIVOTDATA("Kwota",'12.19'!$H$39,"Kategoria",D$13),0)+IFERROR(GETPIVOTDATA("Kwota",'12.19'!$H$39,"Kategoria",D$14),0)</f>
        <v>0</v>
      </c>
      <c r="E20" s="46">
        <f>IFERROR(GETPIVOTDATA("Kwota",'12.19'!$H$39,"Kategoria",E$6),0)+IFERROR(GETPIVOTDATA("Kwota",'12.19'!$H$39,"Kategoria",E$7),0)+IFERROR(GETPIVOTDATA("Kwota",'12.19'!$H$39,"Kategoria",E$8),0)+IFERROR(GETPIVOTDATA("Kwota",'12.19'!$H$39,"Kategoria",E$9),0)+IFERROR(GETPIVOTDATA("Kwota",'12.19'!$H$39,"Kategoria",E$10),0)+IFERROR(GETPIVOTDATA("Kwota",'12.19'!$H$39,"Kategoria",E$11),0)+IFERROR(GETPIVOTDATA("Kwota",'12.19'!$H$39,"Kategoria",E$12),0)+IFERROR(GETPIVOTDATA("Kwota",'12.19'!$H$39,"Kategoria",E$13),0)+IFERROR(GETPIVOTDATA("Kwota",'12.19'!$H$39,"Kategoria",E$14),0)</f>
        <v>0</v>
      </c>
      <c r="F20" s="46">
        <f>IFERROR(GETPIVOTDATA("Kwota",'12.19'!$H$39,"Kategoria",F$6),0)+IFERROR(GETPIVOTDATA("Kwota",'12.19'!$H$39,"Kategoria",F$7),0)+IFERROR(GETPIVOTDATA("Kwota",'12.19'!$H$39,"Kategoria",F$8),0)+IFERROR(GETPIVOTDATA("Kwota",'12.19'!$H$39,"Kategoria",F$9),0)+IFERROR(GETPIVOTDATA("Kwota",'12.19'!$H$39,"Kategoria",F$10),0)+IFERROR(GETPIVOTDATA("Kwota",'12.19'!$H$39,"Kategoria",F$11),0)+IFERROR(GETPIVOTDATA("Kwota",'12.19'!$H$39,"Kategoria",F$12),0)+IFERROR(GETPIVOTDATA("Kwota",'12.19'!$H$39,"Kategoria",F$13),0)+IFERROR(GETPIVOTDATA("Kwota",'12.19'!$H$39,"Kategoria",F$14),0)</f>
        <v>0</v>
      </c>
      <c r="G20" s="46">
        <f>IFERROR(GETPIVOTDATA("Kwota",'12.19'!$H$39,"Kategoria",G$6),0)+IFERROR(GETPIVOTDATA("Kwota",'12.19'!$H$39,"Kategoria",G$7),0)+IFERROR(GETPIVOTDATA("Kwota",'12.19'!$H$39,"Kategoria",G$8),0)+IFERROR(GETPIVOTDATA("Kwota",'12.19'!$H$39,"Kategoria",G$9),0)+IFERROR(GETPIVOTDATA("Kwota",'12.19'!$H$39,"Kategoria",G$10),0)+IFERROR(GETPIVOTDATA("Kwota",'12.19'!$H$39,"Kategoria",G$11),0)+IFERROR(GETPIVOTDATA("Kwota",'12.19'!$H$39,"Kategoria",G$12),0)+IFERROR(GETPIVOTDATA("Kwota",'12.19'!$H$39,"Kategoria",G$13),0)+IFERROR(GETPIVOTDATA("Kwota",'12.19'!$H$39,"Kategoria",G$14),0)</f>
        <v>0</v>
      </c>
      <c r="H20" s="46">
        <f>IFERROR(GETPIVOTDATA("Kwota",'12.19'!$H$39,"Kategoria",H$6),0)+IFERROR(GETPIVOTDATA("Kwota",'12.19'!$H$39,"Kategoria",H$7),0)+IFERROR(GETPIVOTDATA("Kwota",'12.19'!$H$39,"Kategoria",H$8),0)+IFERROR(GETPIVOTDATA("Kwota",'12.19'!$H$39,"Kategoria",H$9),0)+IFERROR(GETPIVOTDATA("Kwota",'12.19'!$H$39,"Kategoria",H$10),0)+IFERROR(GETPIVOTDATA("Kwota",'12.19'!$H$39,"Kategoria",H$11),0)+IFERROR(GETPIVOTDATA("Kwota",'12.19'!$H$39,"Kategoria",H$12),0)+IFERROR(GETPIVOTDATA("Kwota",'12.19'!$H$39,"Kategoria",H$13),0)+IFERROR(GETPIVOTDATA("Kwota",'12.19'!$H$39,"Kategoria",H$14),0)</f>
        <v>0</v>
      </c>
    </row>
    <row r="21" spans="1:8" x14ac:dyDescent="0.25">
      <c r="A21" s="45" t="s">
        <v>43</v>
      </c>
      <c r="B21" s="46"/>
      <c r="C21" s="51">
        <f t="shared" ref="C21:H21" si="2">C19-C20</f>
        <v>-55.42</v>
      </c>
      <c r="D21" s="51">
        <f t="shared" si="2"/>
        <v>0</v>
      </c>
      <c r="E21" s="51">
        <f t="shared" si="2"/>
        <v>0</v>
      </c>
      <c r="F21" s="51">
        <f t="shared" si="2"/>
        <v>0</v>
      </c>
      <c r="G21" s="51">
        <f t="shared" si="2"/>
        <v>0</v>
      </c>
      <c r="H21" s="51">
        <f t="shared" si="2"/>
        <v>0</v>
      </c>
    </row>
  </sheetData>
  <mergeCells count="2">
    <mergeCell ref="C1:H1"/>
    <mergeCell ref="B18:H18"/>
  </mergeCells>
  <conditionalFormatting sqref="C4:H4">
    <cfRule type="cellIs" dxfId="245" priority="397" operator="greaterThan">
      <formula>0</formula>
    </cfRule>
    <cfRule type="cellIs" dxfId="244" priority="398" operator="lessThan">
      <formula>0</formula>
    </cfRule>
  </conditionalFormatting>
  <conditionalFormatting sqref="C21:H21">
    <cfRule type="cellIs" dxfId="11" priority="7" operator="greaterThan">
      <formula>0</formula>
    </cfRule>
    <cfRule type="cellIs" dxfId="10" priority="8" operator="lessThan">
      <formula>0</formula>
    </cfRule>
  </conditionalFormatting>
  <conditionalFormatting sqref="C21:H21">
    <cfRule type="cellIs" dxfId="9" priority="5" operator="greaterThan">
      <formula>0</formula>
    </cfRule>
    <cfRule type="cellIs" dxfId="8" priority="6" operator="lessThan">
      <formula>0</formula>
    </cfRule>
  </conditionalFormatting>
  <pageMargins left="0.7" right="0.7" top="0.75" bottom="0.75" header="0.3" footer="0.3"/>
  <pageSetup paperSize="285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G90"/>
  <sheetViews>
    <sheetView showGridLines="0" tabSelected="1" zoomScaleNormal="100" workbookViewId="0">
      <selection activeCell="B19" sqref="B19"/>
    </sheetView>
  </sheetViews>
  <sheetFormatPr defaultRowHeight="15" x14ac:dyDescent="0.25"/>
  <cols>
    <col min="1" max="1" width="10.85546875" customWidth="1"/>
    <col min="2" max="2" width="28" customWidth="1"/>
    <col min="3" max="3" width="8.85546875" customWidth="1"/>
    <col min="4" max="4" width="10.5703125" customWidth="1"/>
    <col min="5" max="5" width="11.140625" customWidth="1"/>
    <col min="6" max="6" width="2.85546875" style="24" customWidth="1"/>
    <col min="7" max="7" width="13.42578125" style="24" customWidth="1"/>
    <col min="8" max="8" width="9.5703125" style="24" bestFit="1" customWidth="1"/>
    <col min="9" max="9" width="10.7109375" style="24" bestFit="1" customWidth="1"/>
    <col min="10" max="10" width="7.7109375" style="24" customWidth="1"/>
    <col min="11" max="11" width="8.85546875" style="24" customWidth="1"/>
    <col min="12" max="12" width="7.85546875" style="24" customWidth="1"/>
    <col min="13" max="13" width="9" style="24" customWidth="1"/>
    <col min="14" max="14" width="11.7109375" style="24" bestFit="1" customWidth="1"/>
    <col min="15" max="15" width="10.5703125" style="24" bestFit="1" customWidth="1"/>
    <col min="16" max="16" width="10.85546875" style="24" bestFit="1" customWidth="1"/>
    <col min="17" max="17" width="9.140625" style="24" customWidth="1"/>
    <col min="18" max="18" width="9.42578125" style="24" bestFit="1" customWidth="1"/>
    <col min="19" max="19" width="7.7109375" style="24" customWidth="1"/>
    <col min="20" max="20" width="5.85546875" style="24" customWidth="1"/>
    <col min="21" max="21" width="6.85546875" style="24" customWidth="1"/>
    <col min="22" max="22" width="9" style="24" customWidth="1"/>
    <col min="23" max="23" width="8.7109375" style="24" customWidth="1"/>
    <col min="24" max="24" width="7.5703125" style="24" customWidth="1"/>
    <col min="25" max="25" width="8.5703125" style="24" customWidth="1"/>
    <col min="26" max="27" width="7.5703125" style="24" customWidth="1"/>
    <col min="28" max="33" width="9.140625" style="24"/>
  </cols>
  <sheetData>
    <row r="1" spans="1:19" s="24" customFormat="1" x14ac:dyDescent="0.25">
      <c r="A1" s="61">
        <v>43800</v>
      </c>
      <c r="B1" s="61"/>
      <c r="C1" s="61"/>
      <c r="D1" s="26"/>
      <c r="E1"/>
      <c r="H1" s="26"/>
    </row>
    <row r="2" spans="1:19" s="24" customFormat="1" ht="15" customHeight="1" x14ac:dyDescent="0.25">
      <c r="A2" s="62"/>
      <c r="B2" s="62"/>
      <c r="C2" s="62"/>
      <c r="D2" s="26"/>
      <c r="E2"/>
    </row>
    <row r="3" spans="1:19" s="24" customFormat="1" ht="15" customHeight="1" x14ac:dyDescent="0.25">
      <c r="A3" s="26"/>
      <c r="B3" s="26"/>
      <c r="C3" s="27"/>
      <c r="D3" s="26"/>
      <c r="E3" s="34"/>
      <c r="G3" s="25"/>
      <c r="H3" s="25"/>
      <c r="I3" s="25"/>
      <c r="J3" s="25"/>
      <c r="K3" s="25"/>
      <c r="L3" s="25"/>
    </row>
    <row r="4" spans="1:19" s="24" customFormat="1" x14ac:dyDescent="0.25">
      <c r="A4" s="26"/>
      <c r="B4" s="26"/>
      <c r="C4" s="27"/>
      <c r="D4" s="26"/>
      <c r="E4" s="26"/>
      <c r="G4" s="53"/>
      <c r="H4" s="4" t="s">
        <v>3</v>
      </c>
      <c r="I4" s="4" t="s">
        <v>13</v>
      </c>
      <c r="J4" s="4"/>
      <c r="K4" s="4"/>
      <c r="L4"/>
      <c r="M4"/>
      <c r="N4"/>
      <c r="O4"/>
      <c r="P4"/>
      <c r="Q4"/>
      <c r="R4"/>
      <c r="S4"/>
    </row>
    <row r="5" spans="1:19" s="24" customFormat="1" x14ac:dyDescent="0.25">
      <c r="A5" s="26"/>
      <c r="B5" s="26"/>
      <c r="C5" s="27"/>
      <c r="D5" s="26"/>
      <c r="E5" s="26"/>
      <c r="H5" s="4"/>
      <c r="I5" s="5" t="s">
        <v>8</v>
      </c>
      <c r="J5" s="5"/>
      <c r="K5" s="5" t="s">
        <v>5</v>
      </c>
      <c r="L5"/>
      <c r="M5"/>
      <c r="N5"/>
      <c r="O5"/>
      <c r="P5"/>
      <c r="Q5"/>
      <c r="R5"/>
      <c r="S5"/>
    </row>
    <row r="6" spans="1:19" s="24" customFormat="1" ht="15" customHeight="1" x14ac:dyDescent="0.25">
      <c r="A6" s="28" t="s">
        <v>4</v>
      </c>
      <c r="B6" s="28" t="s">
        <v>0</v>
      </c>
      <c r="C6" s="28" t="s">
        <v>12</v>
      </c>
      <c r="D6" s="28" t="s">
        <v>2</v>
      </c>
      <c r="E6" s="28" t="s">
        <v>1</v>
      </c>
      <c r="H6" s="5" t="s">
        <v>4</v>
      </c>
      <c r="I6" s="5" t="s">
        <v>25</v>
      </c>
      <c r="J6" s="5" t="s">
        <v>26</v>
      </c>
      <c r="K6" s="5"/>
      <c r="L6"/>
      <c r="M6"/>
      <c r="N6"/>
      <c r="O6"/>
      <c r="P6"/>
      <c r="Q6"/>
      <c r="R6"/>
      <c r="S6"/>
    </row>
    <row r="7" spans="1:19" s="24" customFormat="1" ht="15" customHeight="1" x14ac:dyDescent="0.25">
      <c r="A7" s="29">
        <v>43800</v>
      </c>
      <c r="B7" s="8" t="s">
        <v>48</v>
      </c>
      <c r="C7" s="9" t="s">
        <v>25</v>
      </c>
      <c r="D7" s="22">
        <v>6.79</v>
      </c>
      <c r="E7" s="7" t="s">
        <v>8</v>
      </c>
      <c r="H7" s="31">
        <v>43800</v>
      </c>
      <c r="I7" s="32">
        <v>6.79</v>
      </c>
      <c r="J7" s="32"/>
      <c r="K7" s="32">
        <v>6.79</v>
      </c>
      <c r="L7"/>
      <c r="M7"/>
      <c r="N7"/>
      <c r="O7"/>
      <c r="P7"/>
      <c r="Q7"/>
      <c r="R7"/>
      <c r="S7"/>
    </row>
    <row r="8" spans="1:19" s="24" customFormat="1" x14ac:dyDescent="0.25">
      <c r="A8" s="29">
        <v>43801</v>
      </c>
      <c r="B8" s="8" t="s">
        <v>46</v>
      </c>
      <c r="C8" s="9" t="s">
        <v>25</v>
      </c>
      <c r="D8" s="22">
        <v>13.13</v>
      </c>
      <c r="E8" s="7" t="s">
        <v>8</v>
      </c>
      <c r="H8" s="31">
        <v>43801</v>
      </c>
      <c r="I8" s="32">
        <v>13.13</v>
      </c>
      <c r="J8" s="32">
        <v>35.5</v>
      </c>
      <c r="K8" s="32">
        <v>48.63</v>
      </c>
      <c r="L8"/>
      <c r="M8"/>
      <c r="N8"/>
      <c r="O8"/>
      <c r="P8"/>
      <c r="Q8"/>
      <c r="R8"/>
      <c r="S8"/>
    </row>
    <row r="9" spans="1:19" s="24" customFormat="1" x14ac:dyDescent="0.25">
      <c r="A9" s="29">
        <v>43801</v>
      </c>
      <c r="B9" s="8" t="s">
        <v>47</v>
      </c>
      <c r="C9" s="9" t="s">
        <v>26</v>
      </c>
      <c r="D9" s="22">
        <v>35.5</v>
      </c>
      <c r="E9" s="7" t="s">
        <v>8</v>
      </c>
      <c r="H9" s="6" t="s">
        <v>5</v>
      </c>
      <c r="I9" s="33">
        <v>19.920000000000002</v>
      </c>
      <c r="J9" s="33">
        <v>35.5</v>
      </c>
      <c r="K9" s="33">
        <v>55.42</v>
      </c>
      <c r="L9"/>
      <c r="M9"/>
      <c r="N9"/>
      <c r="O9"/>
      <c r="P9"/>
      <c r="Q9"/>
      <c r="R9"/>
      <c r="S9"/>
    </row>
    <row r="10" spans="1:19" s="24" customFormat="1" x14ac:dyDescent="0.25">
      <c r="A10"/>
      <c r="B10"/>
      <c r="C10"/>
      <c r="D10"/>
      <c r="E10"/>
      <c r="H10"/>
      <c r="I10"/>
      <c r="J10"/>
      <c r="K10"/>
      <c r="L10"/>
      <c r="M10"/>
      <c r="N10"/>
      <c r="O10"/>
      <c r="P10"/>
      <c r="Q10"/>
      <c r="R10"/>
      <c r="S10"/>
    </row>
    <row r="11" spans="1:19" s="24" customFormat="1" x14ac:dyDescent="0.25">
      <c r="A11"/>
      <c r="B11"/>
      <c r="C11"/>
      <c r="D11"/>
      <c r="E11"/>
      <c r="H11"/>
      <c r="I11"/>
      <c r="J11"/>
      <c r="K11"/>
      <c r="L11"/>
      <c r="M11"/>
      <c r="N11"/>
      <c r="O11"/>
      <c r="P11"/>
      <c r="Q11"/>
      <c r="R11"/>
      <c r="S11"/>
    </row>
    <row r="12" spans="1:19" s="24" customFormat="1" x14ac:dyDescent="0.25">
      <c r="A12"/>
      <c r="B12"/>
      <c r="C12"/>
      <c r="D12"/>
      <c r="E12"/>
      <c r="H12"/>
      <c r="I12"/>
      <c r="J12"/>
      <c r="K12"/>
      <c r="L12"/>
      <c r="M12"/>
      <c r="N12"/>
      <c r="O12"/>
      <c r="P12"/>
      <c r="Q12"/>
      <c r="R12"/>
      <c r="S12"/>
    </row>
    <row r="13" spans="1:19" s="24" customFormat="1" x14ac:dyDescent="0.25">
      <c r="A13"/>
      <c r="B13"/>
      <c r="C13"/>
      <c r="D13"/>
      <c r="E13"/>
      <c r="H13"/>
      <c r="I13"/>
      <c r="J13"/>
      <c r="K13"/>
      <c r="L13"/>
      <c r="M13"/>
      <c r="N13"/>
      <c r="O13"/>
      <c r="P13"/>
      <c r="Q13"/>
      <c r="R13"/>
      <c r="S13"/>
    </row>
    <row r="14" spans="1:19" s="24" customFormat="1" x14ac:dyDescent="0.25">
      <c r="A14"/>
      <c r="B14"/>
      <c r="C14"/>
      <c r="D14"/>
      <c r="E14"/>
      <c r="H14"/>
      <c r="I14"/>
      <c r="J14"/>
      <c r="K14"/>
      <c r="L14"/>
      <c r="M14"/>
      <c r="N14"/>
      <c r="O14"/>
      <c r="P14"/>
      <c r="Q14"/>
      <c r="R14"/>
      <c r="S14"/>
    </row>
    <row r="15" spans="1:19" s="24" customFormat="1" x14ac:dyDescent="0.25">
      <c r="A15"/>
      <c r="B15"/>
      <c r="C15"/>
      <c r="D15"/>
      <c r="E15"/>
      <c r="H15"/>
      <c r="I15"/>
      <c r="J15"/>
      <c r="K15"/>
      <c r="L15"/>
      <c r="M15"/>
      <c r="N15"/>
      <c r="O15"/>
      <c r="P15"/>
      <c r="Q15"/>
      <c r="R15"/>
      <c r="S15"/>
    </row>
    <row r="16" spans="1:19" s="24" customFormat="1" x14ac:dyDescent="0.25">
      <c r="A16"/>
      <c r="B16"/>
      <c r="C16"/>
      <c r="D16"/>
      <c r="E16"/>
      <c r="H16"/>
      <c r="I16"/>
      <c r="J16"/>
      <c r="K16"/>
      <c r="L16"/>
      <c r="M16"/>
      <c r="N16"/>
      <c r="O16"/>
      <c r="P16"/>
      <c r="Q16"/>
      <c r="R16"/>
      <c r="S16"/>
    </row>
    <row r="17" spans="1:19" s="24" customFormat="1" x14ac:dyDescent="0.25">
      <c r="A17"/>
      <c r="B17"/>
      <c r="C17"/>
      <c r="D17"/>
      <c r="E17"/>
      <c r="H17"/>
      <c r="I17"/>
      <c r="J17"/>
      <c r="K17"/>
      <c r="L17"/>
      <c r="M17"/>
      <c r="N17"/>
      <c r="O17"/>
      <c r="P17"/>
      <c r="Q17"/>
      <c r="R17"/>
      <c r="S17"/>
    </row>
    <row r="18" spans="1:19" s="24" customFormat="1" x14ac:dyDescent="0.25">
      <c r="A18"/>
      <c r="B18"/>
      <c r="C18"/>
      <c r="D18"/>
      <c r="E18"/>
      <c r="H18"/>
      <c r="I18"/>
      <c r="J18"/>
      <c r="K18"/>
      <c r="L18"/>
      <c r="M18"/>
      <c r="N18"/>
      <c r="O18"/>
      <c r="P18"/>
      <c r="Q18"/>
      <c r="R18"/>
      <c r="S18"/>
    </row>
    <row r="19" spans="1:19" s="24" customFormat="1" x14ac:dyDescent="0.25">
      <c r="A19"/>
      <c r="B19"/>
      <c r="C19"/>
      <c r="D19"/>
      <c r="E19"/>
      <c r="H19"/>
      <c r="I19"/>
      <c r="J19"/>
      <c r="K19"/>
      <c r="L19"/>
      <c r="M19"/>
      <c r="N19"/>
      <c r="O19"/>
      <c r="P19"/>
      <c r="Q19"/>
      <c r="R19"/>
      <c r="S19"/>
    </row>
    <row r="20" spans="1:19" s="24" customFormat="1" x14ac:dyDescent="0.25">
      <c r="A20"/>
      <c r="B20"/>
      <c r="C20"/>
      <c r="D20"/>
      <c r="E20"/>
      <c r="H20"/>
      <c r="I20"/>
      <c r="J20"/>
      <c r="K20"/>
      <c r="L20"/>
      <c r="M20"/>
      <c r="N20"/>
      <c r="O20"/>
      <c r="P20"/>
      <c r="Q20"/>
      <c r="R20"/>
      <c r="S20"/>
    </row>
    <row r="21" spans="1:19" s="24" customFormat="1" x14ac:dyDescent="0.25">
      <c r="A21"/>
      <c r="B21"/>
      <c r="C21"/>
      <c r="D21"/>
      <c r="E21"/>
      <c r="H21"/>
      <c r="I21"/>
      <c r="J21"/>
      <c r="K21"/>
      <c r="L21"/>
      <c r="M21"/>
      <c r="N21"/>
      <c r="O21"/>
      <c r="P21"/>
      <c r="Q21"/>
      <c r="R21"/>
      <c r="S21"/>
    </row>
    <row r="22" spans="1:19" s="24" customFormat="1" x14ac:dyDescent="0.25">
      <c r="A22"/>
      <c r="B22"/>
      <c r="C22"/>
      <c r="D22"/>
      <c r="E22"/>
      <c r="H22"/>
      <c r="I22"/>
      <c r="J22"/>
      <c r="K22"/>
      <c r="L22"/>
      <c r="M22"/>
      <c r="N22"/>
      <c r="O22"/>
      <c r="P22"/>
      <c r="Q22"/>
      <c r="R22"/>
      <c r="S22"/>
    </row>
    <row r="23" spans="1:19" s="24" customFormat="1" x14ac:dyDescent="0.25">
      <c r="A23"/>
      <c r="B23"/>
      <c r="C23"/>
      <c r="D23"/>
      <c r="E23"/>
      <c r="H23"/>
      <c r="I23"/>
      <c r="J23"/>
      <c r="K23"/>
      <c r="L23"/>
      <c r="M23"/>
      <c r="N23"/>
      <c r="O23"/>
      <c r="P23"/>
      <c r="Q23"/>
      <c r="R23"/>
      <c r="S23"/>
    </row>
    <row r="24" spans="1:19" s="24" customFormat="1" x14ac:dyDescent="0.25">
      <c r="A24"/>
      <c r="B24"/>
      <c r="C24"/>
      <c r="D24"/>
      <c r="E24"/>
      <c r="H24"/>
      <c r="I24"/>
      <c r="J24"/>
      <c r="K24"/>
      <c r="L24"/>
      <c r="M24"/>
      <c r="N24"/>
      <c r="O24"/>
      <c r="P24"/>
      <c r="Q24"/>
      <c r="R24"/>
      <c r="S24"/>
    </row>
    <row r="25" spans="1:19" s="24" customFormat="1" x14ac:dyDescent="0.25">
      <c r="A25"/>
      <c r="B25"/>
      <c r="C25"/>
      <c r="D25"/>
      <c r="E25"/>
      <c r="H25"/>
      <c r="I25"/>
      <c r="J25"/>
      <c r="K25"/>
      <c r="L25"/>
      <c r="M25"/>
      <c r="N25"/>
      <c r="O25"/>
      <c r="P25"/>
      <c r="Q25"/>
      <c r="R25"/>
      <c r="S25"/>
    </row>
    <row r="26" spans="1:19" s="24" customFormat="1" x14ac:dyDescent="0.25">
      <c r="A26"/>
      <c r="B26"/>
      <c r="C26"/>
      <c r="D26"/>
      <c r="E26"/>
      <c r="H26"/>
      <c r="I26"/>
      <c r="J26"/>
      <c r="K26"/>
      <c r="L26"/>
      <c r="M26"/>
      <c r="N26"/>
      <c r="O26"/>
      <c r="P26"/>
      <c r="Q26"/>
      <c r="R26"/>
      <c r="S26"/>
    </row>
    <row r="27" spans="1:19" s="24" customFormat="1" x14ac:dyDescent="0.25">
      <c r="A27"/>
      <c r="B27"/>
      <c r="C27"/>
      <c r="D27"/>
      <c r="E27"/>
      <c r="H27"/>
      <c r="I27"/>
      <c r="J27"/>
      <c r="K27"/>
      <c r="L27"/>
      <c r="M27"/>
      <c r="N27"/>
      <c r="O27"/>
      <c r="P27"/>
      <c r="Q27"/>
      <c r="R27"/>
      <c r="S27"/>
    </row>
    <row r="28" spans="1:19" s="24" customFormat="1" x14ac:dyDescent="0.25">
      <c r="A28"/>
      <c r="B28"/>
      <c r="C28"/>
      <c r="D28"/>
      <c r="E28"/>
      <c r="H28"/>
      <c r="I28"/>
      <c r="J28"/>
      <c r="K28"/>
      <c r="L28"/>
      <c r="M28"/>
      <c r="N28"/>
      <c r="O28"/>
      <c r="P28"/>
      <c r="Q28"/>
      <c r="R28"/>
      <c r="S28"/>
    </row>
    <row r="29" spans="1:19" s="24" customFormat="1" x14ac:dyDescent="0.25">
      <c r="A29"/>
      <c r="B29"/>
      <c r="C29"/>
      <c r="D29"/>
      <c r="E29"/>
      <c r="H29"/>
      <c r="I29"/>
      <c r="J29"/>
      <c r="K29"/>
      <c r="L29"/>
      <c r="M29"/>
      <c r="N29"/>
      <c r="O29"/>
      <c r="P29"/>
      <c r="Q29"/>
      <c r="R29"/>
      <c r="S29"/>
    </row>
    <row r="30" spans="1:19" s="24" customFormat="1" x14ac:dyDescent="0.25">
      <c r="A30"/>
      <c r="B30"/>
      <c r="C30"/>
      <c r="D30"/>
      <c r="E30"/>
      <c r="H30"/>
      <c r="I30"/>
      <c r="J30"/>
      <c r="K30"/>
      <c r="L30"/>
      <c r="M30"/>
      <c r="N30"/>
      <c r="O30"/>
      <c r="P30"/>
      <c r="Q30"/>
      <c r="R30"/>
      <c r="S30"/>
    </row>
    <row r="31" spans="1:19" s="24" customFormat="1" x14ac:dyDescent="0.25">
      <c r="A31"/>
      <c r="B31"/>
      <c r="C31"/>
      <c r="D31"/>
      <c r="E31"/>
      <c r="H31"/>
      <c r="I31"/>
      <c r="J31"/>
      <c r="K31"/>
      <c r="L31"/>
      <c r="M31"/>
      <c r="N31"/>
      <c r="O31"/>
      <c r="P31"/>
      <c r="Q31"/>
      <c r="R31"/>
      <c r="S31"/>
    </row>
    <row r="32" spans="1:19" s="24" customFormat="1" x14ac:dyDescent="0.25">
      <c r="A32"/>
      <c r="B32"/>
      <c r="C32"/>
      <c r="D32"/>
      <c r="E32"/>
      <c r="H32"/>
      <c r="I32"/>
      <c r="J32"/>
      <c r="K32"/>
      <c r="L32"/>
      <c r="M32"/>
      <c r="N32"/>
      <c r="O32"/>
      <c r="P32"/>
      <c r="Q32"/>
      <c r="R32"/>
    </row>
    <row r="33" spans="1:27" s="24" customFormat="1" x14ac:dyDescent="0.25">
      <c r="A33"/>
      <c r="B33"/>
      <c r="C33"/>
      <c r="D33"/>
      <c r="E33"/>
      <c r="H33"/>
      <c r="I33"/>
      <c r="J33"/>
      <c r="K33"/>
      <c r="L33"/>
      <c r="M33"/>
      <c r="N33"/>
      <c r="O33"/>
      <c r="P33"/>
      <c r="Q33"/>
      <c r="R33"/>
    </row>
    <row r="34" spans="1:27" s="24" customFormat="1" x14ac:dyDescent="0.25">
      <c r="A34"/>
      <c r="B34"/>
      <c r="C34"/>
      <c r="D34"/>
      <c r="E34"/>
      <c r="H34"/>
      <c r="I34"/>
      <c r="J34"/>
      <c r="K34"/>
      <c r="L34"/>
      <c r="M34"/>
      <c r="N34"/>
      <c r="O34"/>
      <c r="P34"/>
      <c r="Q34"/>
      <c r="R34"/>
    </row>
    <row r="35" spans="1:27" s="24" customFormat="1" x14ac:dyDescent="0.25">
      <c r="A35"/>
      <c r="B35"/>
      <c r="C35"/>
      <c r="D35"/>
      <c r="E35"/>
      <c r="H35"/>
      <c r="I35"/>
      <c r="J35"/>
      <c r="K35"/>
      <c r="L35"/>
      <c r="M35"/>
      <c r="N35"/>
      <c r="O35"/>
      <c r="P35"/>
      <c r="Q35"/>
      <c r="R35"/>
    </row>
    <row r="36" spans="1:27" s="24" customFormat="1" x14ac:dyDescent="0.25">
      <c r="A36"/>
      <c r="B36"/>
      <c r="C36"/>
      <c r="D36"/>
      <c r="E36"/>
      <c r="H36"/>
      <c r="I36"/>
      <c r="J36"/>
      <c r="K36"/>
      <c r="L36"/>
      <c r="M36"/>
      <c r="N36"/>
      <c r="O36"/>
      <c r="P36"/>
      <c r="Q36"/>
    </row>
    <row r="37" spans="1:27" s="24" customFormat="1" x14ac:dyDescent="0.25">
      <c r="A37"/>
      <c r="B37"/>
      <c r="C37"/>
      <c r="D37"/>
      <c r="E37"/>
      <c r="H37"/>
      <c r="I37"/>
      <c r="J37"/>
      <c r="K37"/>
      <c r="L37"/>
      <c r="M37"/>
      <c r="N37"/>
      <c r="O37"/>
      <c r="P37"/>
    </row>
    <row r="38" spans="1:27" s="24" customFormat="1" x14ac:dyDescent="0.25">
      <c r="A38"/>
      <c r="B38"/>
      <c r="C38"/>
      <c r="D38"/>
      <c r="E38"/>
      <c r="H38" s="52"/>
    </row>
    <row r="39" spans="1:27" s="24" customFormat="1" x14ac:dyDescent="0.25">
      <c r="A39"/>
      <c r="B39"/>
      <c r="C39"/>
      <c r="D39"/>
      <c r="E39"/>
      <c r="H39" s="1" t="s">
        <v>12</v>
      </c>
      <c r="I39" t="s">
        <v>5</v>
      </c>
      <c r="K39" s="1" t="s">
        <v>1</v>
      </c>
      <c r="L39" t="s">
        <v>16</v>
      </c>
      <c r="N39" s="1" t="s">
        <v>14</v>
      </c>
      <c r="O39" s="4" t="s">
        <v>14</v>
      </c>
      <c r="P39"/>
      <c r="Q39" s="4" t="s">
        <v>24</v>
      </c>
      <c r="R39" s="4" t="s">
        <v>12</v>
      </c>
      <c r="S39" s="4"/>
      <c r="T39" s="4"/>
      <c r="U39"/>
      <c r="V39"/>
      <c r="W39"/>
      <c r="X39"/>
      <c r="Y39"/>
      <c r="Z39"/>
      <c r="AA39"/>
    </row>
    <row r="40" spans="1:27" s="24" customFormat="1" x14ac:dyDescent="0.25">
      <c r="A40"/>
      <c r="B40"/>
      <c r="C40"/>
      <c r="D40"/>
      <c r="E40"/>
      <c r="H40" s="2" t="s">
        <v>25</v>
      </c>
      <c r="I40" s="34">
        <v>19.920000000000002</v>
      </c>
      <c r="K40" s="2" t="s">
        <v>8</v>
      </c>
      <c r="L40" s="34">
        <v>55.42</v>
      </c>
      <c r="N40" s="4" t="s">
        <v>12</v>
      </c>
      <c r="O40" s="4" t="s">
        <v>8</v>
      </c>
      <c r="P40"/>
      <c r="Q40" s="4" t="s">
        <v>1</v>
      </c>
      <c r="R40" s="4" t="s">
        <v>25</v>
      </c>
      <c r="S40" s="4" t="s">
        <v>26</v>
      </c>
      <c r="T40" s="4" t="s">
        <v>5</v>
      </c>
      <c r="U40"/>
      <c r="V40"/>
      <c r="W40"/>
      <c r="X40"/>
      <c r="Y40"/>
      <c r="Z40"/>
      <c r="AA40"/>
    </row>
    <row r="41" spans="1:27" s="24" customFormat="1" x14ac:dyDescent="0.25">
      <c r="A41"/>
      <c r="B41"/>
      <c r="C41"/>
      <c r="D41"/>
      <c r="E41"/>
      <c r="H41" s="2" t="s">
        <v>26</v>
      </c>
      <c r="I41" s="34">
        <v>35.5</v>
      </c>
      <c r="K41"/>
      <c r="L41"/>
      <c r="N41" s="2" t="s">
        <v>25</v>
      </c>
      <c r="O41" s="36">
        <v>19.920000000000002</v>
      </c>
      <c r="P41"/>
      <c r="Q41" s="2" t="s">
        <v>8</v>
      </c>
      <c r="R41" s="34">
        <v>19.920000000000002</v>
      </c>
      <c r="S41" s="34">
        <v>35.5</v>
      </c>
      <c r="T41" s="34">
        <v>55.42</v>
      </c>
      <c r="U41"/>
      <c r="V41"/>
      <c r="W41"/>
      <c r="X41"/>
      <c r="Y41"/>
      <c r="Z41"/>
      <c r="AA41"/>
    </row>
    <row r="42" spans="1:27" s="24" customFormat="1" x14ac:dyDescent="0.25">
      <c r="A42"/>
      <c r="B42"/>
      <c r="C42"/>
      <c r="D42"/>
      <c r="E42"/>
      <c r="H42" s="3" t="s">
        <v>15</v>
      </c>
      <c r="I42" s="35">
        <v>55.42</v>
      </c>
      <c r="K42"/>
      <c r="L42"/>
      <c r="N42" s="2" t="s">
        <v>26</v>
      </c>
      <c r="O42" s="36">
        <v>35.5</v>
      </c>
      <c r="P42"/>
      <c r="Q42" s="3" t="s">
        <v>5</v>
      </c>
      <c r="R42" s="35">
        <v>19.920000000000002</v>
      </c>
      <c r="S42" s="35">
        <v>35.5</v>
      </c>
      <c r="T42" s="35">
        <v>55.42</v>
      </c>
      <c r="U42"/>
      <c r="V42"/>
      <c r="W42"/>
      <c r="X42"/>
      <c r="Y42"/>
      <c r="Z42"/>
      <c r="AA42"/>
    </row>
    <row r="43" spans="1:27" s="24" customFormat="1" x14ac:dyDescent="0.25">
      <c r="A43"/>
      <c r="B43"/>
      <c r="C43"/>
      <c r="D43"/>
      <c r="E43"/>
      <c r="H43"/>
      <c r="I43"/>
      <c r="N43" s="3" t="s">
        <v>15</v>
      </c>
      <c r="O43" s="35">
        <v>55.42</v>
      </c>
      <c r="P43"/>
      <c r="Q43"/>
      <c r="R43"/>
      <c r="S43"/>
      <c r="T43"/>
      <c r="U43"/>
      <c r="V43"/>
      <c r="W43"/>
      <c r="X43"/>
      <c r="Y43"/>
      <c r="Z43"/>
      <c r="AA43"/>
    </row>
    <row r="44" spans="1:27" s="24" customFormat="1" x14ac:dyDescent="0.25">
      <c r="A44"/>
      <c r="B44"/>
      <c r="C44"/>
      <c r="D44"/>
      <c r="E44"/>
      <c r="H44"/>
      <c r="I44"/>
      <c r="N44"/>
      <c r="O44"/>
      <c r="P44"/>
      <c r="Q44"/>
      <c r="R44"/>
      <c r="S44"/>
      <c r="T44"/>
      <c r="U44"/>
      <c r="V44"/>
      <c r="W44"/>
      <c r="X44"/>
      <c r="Y44"/>
    </row>
    <row r="45" spans="1:27" s="24" customFormat="1" x14ac:dyDescent="0.25">
      <c r="A45"/>
      <c r="B45"/>
      <c r="C45"/>
      <c r="D45"/>
      <c r="E45"/>
      <c r="H45"/>
      <c r="I45"/>
      <c r="N45"/>
      <c r="O45"/>
      <c r="P45"/>
    </row>
    <row r="46" spans="1:27" s="24" customFormat="1" x14ac:dyDescent="0.25">
      <c r="A46"/>
      <c r="B46"/>
      <c r="C46"/>
      <c r="D46"/>
      <c r="E46"/>
      <c r="H46"/>
      <c r="I46"/>
      <c r="N46"/>
      <c r="O46"/>
      <c r="P46"/>
    </row>
    <row r="47" spans="1:27" s="24" customFormat="1" x14ac:dyDescent="0.25">
      <c r="A47"/>
      <c r="B47"/>
      <c r="C47"/>
      <c r="D47"/>
      <c r="E47"/>
      <c r="H47"/>
      <c r="I47"/>
      <c r="N47"/>
      <c r="O47"/>
      <c r="P47"/>
    </row>
    <row r="48" spans="1:27" s="24" customFormat="1" x14ac:dyDescent="0.25">
      <c r="A48"/>
      <c r="B48"/>
      <c r="C48"/>
      <c r="D48"/>
      <c r="E48"/>
      <c r="H48"/>
      <c r="I48"/>
      <c r="N48"/>
      <c r="O48"/>
      <c r="P48"/>
    </row>
    <row r="49" spans="1:16" s="24" customFormat="1" x14ac:dyDescent="0.25">
      <c r="A49"/>
      <c r="B49"/>
      <c r="C49"/>
      <c r="D49"/>
      <c r="E49"/>
      <c r="F49"/>
      <c r="H49"/>
      <c r="I49"/>
      <c r="N49"/>
      <c r="O49"/>
      <c r="P49"/>
    </row>
    <row r="50" spans="1:16" s="24" customFormat="1" x14ac:dyDescent="0.25">
      <c r="A50"/>
      <c r="B50"/>
      <c r="C50"/>
      <c r="D50"/>
      <c r="E50"/>
    </row>
    <row r="51" spans="1:16" s="24" customFormat="1" x14ac:dyDescent="0.25">
      <c r="A51"/>
      <c r="B51"/>
      <c r="C51"/>
      <c r="D51"/>
      <c r="E51"/>
    </row>
    <row r="52" spans="1:16" s="24" customFormat="1" x14ac:dyDescent="0.25">
      <c r="A52"/>
      <c r="B52"/>
      <c r="C52"/>
      <c r="D52"/>
      <c r="E52"/>
    </row>
    <row r="53" spans="1:16" s="24" customFormat="1" x14ac:dyDescent="0.25">
      <c r="A53"/>
      <c r="B53"/>
      <c r="C53"/>
      <c r="D53"/>
      <c r="E53"/>
    </row>
    <row r="54" spans="1:16" s="24" customFormat="1" x14ac:dyDescent="0.25">
      <c r="A54"/>
      <c r="B54"/>
      <c r="C54"/>
      <c r="D54"/>
      <c r="E54"/>
    </row>
    <row r="55" spans="1:16" s="24" customFormat="1" x14ac:dyDescent="0.25">
      <c r="A55"/>
      <c r="B55"/>
      <c r="C55"/>
      <c r="D55"/>
      <c r="E55"/>
    </row>
    <row r="56" spans="1:16" s="24" customFormat="1" x14ac:dyDescent="0.25">
      <c r="A56"/>
      <c r="B56"/>
      <c r="C56"/>
      <c r="D56"/>
      <c r="E56"/>
    </row>
    <row r="57" spans="1:16" s="24" customFormat="1" x14ac:dyDescent="0.25">
      <c r="A57"/>
      <c r="B57"/>
      <c r="C57"/>
      <c r="D57"/>
      <c r="E57"/>
    </row>
    <row r="58" spans="1:16" s="24" customFormat="1" x14ac:dyDescent="0.25">
      <c r="A58"/>
      <c r="B58"/>
      <c r="C58"/>
      <c r="D58"/>
      <c r="E58"/>
    </row>
    <row r="59" spans="1:16" s="24" customFormat="1" x14ac:dyDescent="0.25">
      <c r="A59"/>
      <c r="B59"/>
      <c r="C59"/>
      <c r="D59"/>
      <c r="E59"/>
    </row>
    <row r="60" spans="1:16" s="24" customFormat="1" x14ac:dyDescent="0.25">
      <c r="A60"/>
      <c r="B60"/>
      <c r="C60"/>
      <c r="D60"/>
      <c r="E60"/>
    </row>
    <row r="61" spans="1:16" s="24" customFormat="1" x14ac:dyDescent="0.25">
      <c r="A61"/>
      <c r="B61"/>
      <c r="C61"/>
      <c r="D61"/>
      <c r="E61"/>
    </row>
    <row r="62" spans="1:16" s="24" customFormat="1" x14ac:dyDescent="0.25">
      <c r="A62"/>
      <c r="B62"/>
      <c r="C62"/>
      <c r="D62"/>
      <c r="E62"/>
    </row>
    <row r="63" spans="1:16" s="24" customFormat="1" x14ac:dyDescent="0.25">
      <c r="A63"/>
      <c r="B63"/>
      <c r="C63"/>
      <c r="D63"/>
      <c r="E63"/>
    </row>
    <row r="64" spans="1:16" s="24" customFormat="1" x14ac:dyDescent="0.25">
      <c r="A64"/>
      <c r="B64"/>
      <c r="C64"/>
      <c r="D64"/>
      <c r="E64"/>
    </row>
    <row r="65" spans="1:5" s="24" customFormat="1" x14ac:dyDescent="0.25">
      <c r="A65"/>
      <c r="B65"/>
      <c r="C65"/>
      <c r="D65"/>
      <c r="E65"/>
    </row>
    <row r="66" spans="1:5" s="24" customFormat="1" x14ac:dyDescent="0.25">
      <c r="A66"/>
      <c r="B66"/>
      <c r="C66"/>
      <c r="D66"/>
      <c r="E66"/>
    </row>
    <row r="67" spans="1:5" s="24" customFormat="1" x14ac:dyDescent="0.25">
      <c r="A67"/>
      <c r="B67"/>
      <c r="C67"/>
      <c r="D67"/>
      <c r="E67"/>
    </row>
    <row r="68" spans="1:5" s="24" customFormat="1" x14ac:dyDescent="0.25">
      <c r="A68"/>
      <c r="B68"/>
      <c r="C68"/>
      <c r="D68"/>
      <c r="E68"/>
    </row>
    <row r="69" spans="1:5" s="24" customFormat="1" x14ac:dyDescent="0.25">
      <c r="A69"/>
      <c r="B69"/>
      <c r="C69"/>
      <c r="D69"/>
      <c r="E69"/>
    </row>
    <row r="70" spans="1:5" s="24" customFormat="1" x14ac:dyDescent="0.25">
      <c r="A70"/>
      <c r="B70"/>
      <c r="C70"/>
      <c r="D70"/>
      <c r="E70"/>
    </row>
    <row r="71" spans="1:5" s="24" customFormat="1" x14ac:dyDescent="0.25">
      <c r="A71"/>
      <c r="B71"/>
      <c r="C71"/>
      <c r="D71"/>
      <c r="E71"/>
    </row>
    <row r="72" spans="1:5" s="24" customFormat="1" x14ac:dyDescent="0.25">
      <c r="A72"/>
      <c r="B72"/>
      <c r="C72"/>
      <c r="D72"/>
      <c r="E72"/>
    </row>
    <row r="73" spans="1:5" s="24" customFormat="1" x14ac:dyDescent="0.25">
      <c r="A73"/>
      <c r="B73"/>
      <c r="C73"/>
      <c r="D73"/>
      <c r="E73"/>
    </row>
    <row r="74" spans="1:5" s="24" customFormat="1" x14ac:dyDescent="0.25">
      <c r="A74"/>
      <c r="B74"/>
      <c r="C74"/>
      <c r="D74"/>
      <c r="E74"/>
    </row>
    <row r="75" spans="1:5" s="24" customFormat="1" x14ac:dyDescent="0.25">
      <c r="A75"/>
      <c r="B75"/>
      <c r="C75"/>
      <c r="D75"/>
      <c r="E75"/>
    </row>
    <row r="76" spans="1:5" s="24" customFormat="1" x14ac:dyDescent="0.25">
      <c r="A76"/>
      <c r="B76"/>
      <c r="C76"/>
      <c r="D76"/>
      <c r="E76"/>
    </row>
    <row r="77" spans="1:5" s="24" customFormat="1" x14ac:dyDescent="0.25">
      <c r="A77"/>
      <c r="B77"/>
      <c r="C77"/>
      <c r="D77"/>
      <c r="E77"/>
    </row>
    <row r="78" spans="1:5" s="24" customFormat="1" x14ac:dyDescent="0.25">
      <c r="A78"/>
      <c r="B78"/>
      <c r="C78"/>
      <c r="D78"/>
      <c r="E78"/>
    </row>
    <row r="79" spans="1:5" s="24" customFormat="1" x14ac:dyDescent="0.25">
      <c r="A79"/>
      <c r="B79"/>
      <c r="C79"/>
      <c r="D79"/>
      <c r="E79"/>
    </row>
    <row r="80" spans="1:5" s="24" customFormat="1" x14ac:dyDescent="0.25">
      <c r="A80"/>
      <c r="B80"/>
      <c r="C80"/>
      <c r="D80"/>
      <c r="E80"/>
    </row>
    <row r="81" spans="1:5" s="24" customFormat="1" x14ac:dyDescent="0.25">
      <c r="A81"/>
      <c r="B81"/>
      <c r="C81"/>
      <c r="D81"/>
      <c r="E81"/>
    </row>
    <row r="82" spans="1:5" s="24" customFormat="1" x14ac:dyDescent="0.25">
      <c r="A82"/>
      <c r="B82"/>
      <c r="C82"/>
      <c r="D82"/>
      <c r="E82"/>
    </row>
    <row r="83" spans="1:5" s="24" customFormat="1" x14ac:dyDescent="0.25">
      <c r="A83"/>
      <c r="B83"/>
      <c r="C83"/>
      <c r="D83"/>
      <c r="E83"/>
    </row>
    <row r="84" spans="1:5" s="24" customFormat="1" x14ac:dyDescent="0.25">
      <c r="A84"/>
      <c r="B84"/>
      <c r="C84"/>
      <c r="D84"/>
      <c r="E84"/>
    </row>
    <row r="85" spans="1:5" s="24" customFormat="1" x14ac:dyDescent="0.25">
      <c r="A85"/>
      <c r="B85"/>
      <c r="C85"/>
      <c r="D85"/>
      <c r="E85"/>
    </row>
    <row r="86" spans="1:5" s="24" customFormat="1" x14ac:dyDescent="0.25">
      <c r="A86"/>
      <c r="B86"/>
      <c r="C86"/>
      <c r="D86"/>
      <c r="E86"/>
    </row>
    <row r="87" spans="1:5" s="24" customFormat="1" x14ac:dyDescent="0.25">
      <c r="A87"/>
      <c r="B87"/>
      <c r="C87"/>
      <c r="D87"/>
      <c r="E87"/>
    </row>
    <row r="88" spans="1:5" s="24" customFormat="1" x14ac:dyDescent="0.25">
      <c r="A88"/>
      <c r="B88"/>
      <c r="C88"/>
      <c r="D88"/>
      <c r="E88"/>
    </row>
    <row r="89" spans="1:5" s="24" customFormat="1" x14ac:dyDescent="0.25">
      <c r="A89"/>
      <c r="B89"/>
      <c r="C89"/>
      <c r="D89"/>
      <c r="E89"/>
    </row>
    <row r="90" spans="1:5" s="24" customFormat="1" x14ac:dyDescent="0.25">
      <c r="A90"/>
      <c r="B90"/>
      <c r="C90"/>
      <c r="D90"/>
      <c r="E90"/>
    </row>
  </sheetData>
  <sheetProtection selectLockedCells="1"/>
  <sortState ref="A7:E9">
    <sortCondition ref="A7"/>
  </sortState>
  <mergeCells count="1">
    <mergeCell ref="A1:C2"/>
  </mergeCells>
  <pageMargins left="0.7" right="0.7" top="0.75" bottom="0.75" header="0.3" footer="0.3"/>
  <pageSetup paperSize="9" orientation="portrait" r:id="rId6"/>
  <drawing r:id="rId7"/>
  <picture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Ustawienia</vt:lpstr>
      <vt:lpstr>Fundusze</vt:lpstr>
      <vt:lpstr>12.19</vt:lpstr>
    </vt:vector>
  </TitlesOfParts>
  <Company>State Street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Szotek, Jakub</dc:creator>
  <cp:lastModifiedBy>Kuba</cp:lastModifiedBy>
  <dcterms:created xsi:type="dcterms:W3CDTF">2012-10-01T10:45:32Z</dcterms:created>
  <dcterms:modified xsi:type="dcterms:W3CDTF">2019-12-03T06:13:46Z</dcterms:modified>
</cp:coreProperties>
</file>